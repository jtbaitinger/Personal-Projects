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\"/>
    </mc:Choice>
  </mc:AlternateContent>
  <xr:revisionPtr revIDLastSave="0" documentId="13_ncr:1_{336BD4EA-4A6B-4E12-9D5C-1EE4088E2369}" xr6:coauthVersionLast="47" xr6:coauthVersionMax="47" xr10:uidLastSave="{00000000-0000-0000-0000-000000000000}"/>
  <bookViews>
    <workbookView xWindow="-90" yWindow="-90" windowWidth="19380" windowHeight="10980" xr2:uid="{F723B39F-4137-4781-AC86-6D6BADB5BE30}"/>
  </bookViews>
  <sheets>
    <sheet name="Overview" sheetId="1" r:id="rId1"/>
    <sheet name="Expenses" sheetId="6" r:id="rId2"/>
    <sheet name="Savings" sheetId="3" r:id="rId3"/>
    <sheet name="Retirement" sheetId="4" r:id="rId4"/>
    <sheet name="College Loan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5" l="1"/>
  <c r="H4" i="5" s="1"/>
  <c r="F8" i="5"/>
  <c r="D21" i="6"/>
  <c r="D23" i="6"/>
  <c r="D20" i="6"/>
  <c r="D18" i="6"/>
  <c r="D19" i="6"/>
  <c r="D17" i="6"/>
  <c r="D14" i="6"/>
  <c r="D15" i="6"/>
  <c r="D16" i="6"/>
  <c r="D13" i="6"/>
  <c r="D6" i="6"/>
  <c r="D7" i="6"/>
  <c r="D8" i="6"/>
  <c r="D9" i="6"/>
  <c r="D10" i="6"/>
  <c r="D11" i="6"/>
  <c r="D12" i="6"/>
  <c r="D5" i="6"/>
  <c r="H11" i="5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H24" i="5" s="1"/>
  <c r="H25" i="5" s="1"/>
  <c r="H26" i="5" s="1"/>
  <c r="H27" i="5" s="1"/>
  <c r="H28" i="5" s="1"/>
  <c r="H29" i="5" s="1"/>
  <c r="H30" i="5" s="1"/>
  <c r="H31" i="5" s="1"/>
  <c r="H32" i="5" s="1"/>
  <c r="H33" i="5" s="1"/>
  <c r="H34" i="5" s="1"/>
  <c r="H35" i="5" s="1"/>
  <c r="H36" i="5" s="1"/>
  <c r="H37" i="5" s="1"/>
  <c r="H38" i="5" s="1"/>
  <c r="H39" i="5" s="1"/>
  <c r="H40" i="5" s="1"/>
  <c r="H41" i="5" s="1"/>
  <c r="H42" i="5" s="1"/>
  <c r="H43" i="5" s="1"/>
  <c r="H44" i="5" s="1"/>
  <c r="H45" i="5" s="1"/>
  <c r="H46" i="5" s="1"/>
  <c r="H47" i="5" s="1"/>
  <c r="H48" i="5" s="1"/>
  <c r="H49" i="5" s="1"/>
  <c r="H50" i="5" s="1"/>
  <c r="H51" i="5" s="1"/>
  <c r="H52" i="5" s="1"/>
  <c r="H53" i="5" s="1"/>
  <c r="H54" i="5" s="1"/>
  <c r="H55" i="5" s="1"/>
  <c r="H56" i="5" s="1"/>
  <c r="H57" i="5" s="1"/>
  <c r="H58" i="5" s="1"/>
  <c r="H59" i="5" s="1"/>
  <c r="H60" i="5" s="1"/>
  <c r="H61" i="5" s="1"/>
  <c r="H62" i="5" s="1"/>
  <c r="H63" i="5" s="1"/>
  <c r="H64" i="5" s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H75" i="5" s="1"/>
  <c r="H76" i="5" s="1"/>
  <c r="H77" i="5" s="1"/>
  <c r="H78" i="5" s="1"/>
  <c r="H79" i="5" s="1"/>
  <c r="H80" i="5" s="1"/>
  <c r="H81" i="5" s="1"/>
  <c r="H82" i="5" s="1"/>
  <c r="H83" i="5" s="1"/>
  <c r="H84" i="5" s="1"/>
  <c r="H85" i="5" s="1"/>
  <c r="H86" i="5" s="1"/>
  <c r="H87" i="5" s="1"/>
  <c r="H88" i="5" s="1"/>
  <c r="H89" i="5" s="1"/>
  <c r="H90" i="5" s="1"/>
  <c r="H91" i="5" s="1"/>
  <c r="H92" i="5" s="1"/>
  <c r="H93" i="5" s="1"/>
  <c r="H94" i="5" s="1"/>
  <c r="H95" i="5" s="1"/>
  <c r="H96" i="5" s="1"/>
  <c r="H97" i="5" s="1"/>
  <c r="H98" i="5" s="1"/>
  <c r="H99" i="5" s="1"/>
  <c r="H100" i="5" s="1"/>
  <c r="H101" i="5" s="1"/>
  <c r="H102" i="5" s="1"/>
  <c r="H103" i="5" s="1"/>
  <c r="H104" i="5" s="1"/>
  <c r="H105" i="5" s="1"/>
  <c r="H106" i="5" s="1"/>
  <c r="H107" i="5" s="1"/>
  <c r="H108" i="5" s="1"/>
  <c r="H109" i="5" s="1"/>
  <c r="H110" i="5" s="1"/>
  <c r="H111" i="5" s="1"/>
  <c r="H112" i="5" s="1"/>
  <c r="H113" i="5" s="1"/>
  <c r="H114" i="5" s="1"/>
  <c r="H115" i="5" s="1"/>
  <c r="H116" i="5" s="1"/>
  <c r="H117" i="5" s="1"/>
  <c r="H118" i="5" s="1"/>
  <c r="H119" i="5" s="1"/>
  <c r="H120" i="5" s="1"/>
  <c r="H121" i="5" s="1"/>
  <c r="H122" i="5" s="1"/>
  <c r="H123" i="5" s="1"/>
  <c r="H124" i="5" s="1"/>
  <c r="H125" i="5" s="1"/>
  <c r="H126" i="5" s="1"/>
  <c r="H127" i="5" s="1"/>
  <c r="H128" i="5" s="1"/>
  <c r="H129" i="5" s="1"/>
  <c r="H130" i="5" s="1"/>
  <c r="H131" i="5" s="1"/>
  <c r="H132" i="5" s="1"/>
  <c r="H133" i="5" s="1"/>
  <c r="H134" i="5" s="1"/>
  <c r="H135" i="5" s="1"/>
  <c r="H136" i="5" s="1"/>
  <c r="H137" i="5" s="1"/>
  <c r="H138" i="5" s="1"/>
  <c r="H139" i="5" s="1"/>
  <c r="H140" i="5" s="1"/>
  <c r="H141" i="5" s="1"/>
  <c r="H142" i="5" s="1"/>
  <c r="H143" i="5" s="1"/>
  <c r="H144" i="5" s="1"/>
  <c r="H145" i="5" s="1"/>
  <c r="H146" i="5" s="1"/>
  <c r="H147" i="5" s="1"/>
  <c r="H148" i="5" s="1"/>
  <c r="H149" i="5" s="1"/>
  <c r="H150" i="5" s="1"/>
  <c r="H151" i="5" s="1"/>
  <c r="H152" i="5" s="1"/>
  <c r="H153" i="5" s="1"/>
  <c r="H154" i="5" s="1"/>
  <c r="H155" i="5" s="1"/>
  <c r="H156" i="5" s="1"/>
  <c r="H157" i="5" s="1"/>
  <c r="H158" i="5" s="1"/>
  <c r="H159" i="5" s="1"/>
  <c r="H160" i="5" s="1"/>
  <c r="H161" i="5" s="1"/>
  <c r="H162" i="5" s="1"/>
  <c r="H163" i="5" s="1"/>
  <c r="H164" i="5" s="1"/>
  <c r="H165" i="5" s="1"/>
  <c r="H166" i="5" s="1"/>
  <c r="H167" i="5" s="1"/>
  <c r="H168" i="5" s="1"/>
  <c r="H169" i="5" s="1"/>
  <c r="H170" i="5" s="1"/>
  <c r="H171" i="5" s="1"/>
  <c r="H172" i="5" s="1"/>
  <c r="H173" i="5" s="1"/>
  <c r="H174" i="5" s="1"/>
  <c r="H175" i="5" s="1"/>
  <c r="H176" i="5" s="1"/>
  <c r="H177" i="5" s="1"/>
  <c r="H178" i="5" s="1"/>
  <c r="H179" i="5" s="1"/>
  <c r="H180" i="5" s="1"/>
  <c r="H181" i="5" s="1"/>
  <c r="H182" i="5" s="1"/>
  <c r="H183" i="5" s="1"/>
  <c r="H184" i="5" s="1"/>
  <c r="H185" i="5" s="1"/>
  <c r="H186" i="5" s="1"/>
  <c r="H187" i="5" s="1"/>
  <c r="H188" i="5" s="1"/>
  <c r="H189" i="5" s="1"/>
  <c r="H190" i="5" s="1"/>
  <c r="H191" i="5" s="1"/>
  <c r="H192" i="5" s="1"/>
  <c r="H193" i="5" s="1"/>
  <c r="H194" i="5" s="1"/>
  <c r="H195" i="5" s="1"/>
  <c r="H196" i="5" s="1"/>
  <c r="H197" i="5" s="1"/>
  <c r="H198" i="5" s="1"/>
  <c r="H199" i="5" s="1"/>
  <c r="H200" i="5" s="1"/>
  <c r="H201" i="5" s="1"/>
  <c r="H202" i="5" s="1"/>
  <c r="H203" i="5" s="1"/>
  <c r="H204" i="5" s="1"/>
  <c r="H205" i="5" s="1"/>
  <c r="H206" i="5" s="1"/>
  <c r="H207" i="5" s="1"/>
  <c r="H208" i="5" s="1"/>
  <c r="H209" i="5" s="1"/>
  <c r="H210" i="5" s="1"/>
  <c r="H211" i="5" s="1"/>
  <c r="H212" i="5" s="1"/>
  <c r="H213" i="5" s="1"/>
  <c r="H214" i="5" s="1"/>
  <c r="H215" i="5" s="1"/>
  <c r="G11" i="5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F11" i="5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F45" i="5" s="1"/>
  <c r="F46" i="5" s="1"/>
  <c r="F47" i="5" s="1"/>
  <c r="F48" i="5" s="1"/>
  <c r="F49" i="5" s="1"/>
  <c r="F50" i="5" s="1"/>
  <c r="F51" i="5" s="1"/>
  <c r="F52" i="5" s="1"/>
  <c r="F53" i="5" s="1"/>
  <c r="F54" i="5" s="1"/>
  <c r="F55" i="5" s="1"/>
  <c r="F56" i="5" s="1"/>
  <c r="F57" i="5" s="1"/>
  <c r="F58" i="5" s="1"/>
  <c r="F59" i="5" s="1"/>
  <c r="F60" i="5" s="1"/>
  <c r="F61" i="5" s="1"/>
  <c r="F62" i="5" s="1"/>
  <c r="F63" i="5" s="1"/>
  <c r="F64" i="5" s="1"/>
  <c r="F65" i="5" s="1"/>
  <c r="F66" i="5" s="1"/>
  <c r="F67" i="5" s="1"/>
  <c r="F68" i="5" s="1"/>
  <c r="F69" i="5" s="1"/>
  <c r="F70" i="5" s="1"/>
  <c r="F71" i="5" s="1"/>
  <c r="F72" i="5" s="1"/>
  <c r="F73" i="5" s="1"/>
  <c r="F74" i="5" s="1"/>
  <c r="F75" i="5" s="1"/>
  <c r="F76" i="5" s="1"/>
  <c r="F77" i="5" s="1"/>
  <c r="F78" i="5" s="1"/>
  <c r="F79" i="5" s="1"/>
  <c r="F80" i="5" s="1"/>
  <c r="F81" i="5" s="1"/>
  <c r="F82" i="5" s="1"/>
  <c r="F83" i="5" s="1"/>
  <c r="F84" i="5" s="1"/>
  <c r="F85" i="5" s="1"/>
  <c r="F86" i="5" s="1"/>
  <c r="F87" i="5" s="1"/>
  <c r="F88" i="5" s="1"/>
  <c r="F89" i="5" s="1"/>
  <c r="F90" i="5" s="1"/>
  <c r="F91" i="5" s="1"/>
  <c r="F92" i="5" s="1"/>
  <c r="F93" i="5" s="1"/>
  <c r="F94" i="5" s="1"/>
  <c r="F95" i="5" s="1"/>
  <c r="F96" i="5" s="1"/>
  <c r="F97" i="5" s="1"/>
  <c r="F98" i="5" s="1"/>
  <c r="F99" i="5" s="1"/>
  <c r="F100" i="5" s="1"/>
  <c r="F101" i="5" s="1"/>
  <c r="F102" i="5" s="1"/>
  <c r="F103" i="5" s="1"/>
  <c r="F104" i="5" s="1"/>
  <c r="F105" i="5" s="1"/>
  <c r="F106" i="5" s="1"/>
  <c r="F107" i="5" s="1"/>
  <c r="F108" i="5" s="1"/>
  <c r="F109" i="5" s="1"/>
  <c r="F110" i="5" s="1"/>
  <c r="F111" i="5" s="1"/>
  <c r="F112" i="5" s="1"/>
  <c r="F113" i="5" s="1"/>
  <c r="F114" i="5" s="1"/>
  <c r="F115" i="5" s="1"/>
  <c r="F116" i="5" s="1"/>
  <c r="F117" i="5" s="1"/>
  <c r="F118" i="5" s="1"/>
  <c r="F119" i="5" s="1"/>
  <c r="F120" i="5" s="1"/>
  <c r="F121" i="5" s="1"/>
  <c r="F122" i="5" s="1"/>
  <c r="F123" i="5" s="1"/>
  <c r="F124" i="5" s="1"/>
  <c r="F125" i="5" s="1"/>
  <c r="F126" i="5" s="1"/>
  <c r="F127" i="5" s="1"/>
  <c r="F128" i="5" s="1"/>
  <c r="F129" i="5" s="1"/>
  <c r="F130" i="5" s="1"/>
  <c r="F131" i="5" s="1"/>
  <c r="F132" i="5" s="1"/>
  <c r="F133" i="5" s="1"/>
  <c r="F134" i="5" s="1"/>
  <c r="F135" i="5" s="1"/>
  <c r="F136" i="5" s="1"/>
  <c r="F137" i="5" s="1"/>
  <c r="F138" i="5" s="1"/>
  <c r="F139" i="5" s="1"/>
  <c r="F140" i="5" s="1"/>
  <c r="F141" i="5" s="1"/>
  <c r="F142" i="5" s="1"/>
  <c r="F143" i="5" s="1"/>
  <c r="F144" i="5" s="1"/>
  <c r="F145" i="5" s="1"/>
  <c r="F146" i="5" s="1"/>
  <c r="F147" i="5" s="1"/>
  <c r="F148" i="5" s="1"/>
  <c r="F149" i="5" s="1"/>
  <c r="F150" i="5" s="1"/>
  <c r="F151" i="5" s="1"/>
  <c r="F152" i="5" s="1"/>
  <c r="F153" i="5" s="1"/>
  <c r="F154" i="5" s="1"/>
  <c r="F155" i="5" s="1"/>
  <c r="F156" i="5" s="1"/>
  <c r="F157" i="5" s="1"/>
  <c r="F158" i="5" s="1"/>
  <c r="F159" i="5" s="1"/>
  <c r="F160" i="5" s="1"/>
  <c r="F161" i="5" s="1"/>
  <c r="F162" i="5" s="1"/>
  <c r="F163" i="5" s="1"/>
  <c r="F164" i="5" s="1"/>
  <c r="F165" i="5" s="1"/>
  <c r="F166" i="5" s="1"/>
  <c r="F167" i="5" s="1"/>
  <c r="F168" i="5" s="1"/>
  <c r="F169" i="5" s="1"/>
  <c r="F170" i="5" s="1"/>
  <c r="F171" i="5" s="1"/>
  <c r="F172" i="5" s="1"/>
  <c r="F173" i="5" s="1"/>
  <c r="F174" i="5" s="1"/>
  <c r="F175" i="5" s="1"/>
  <c r="F176" i="5" s="1"/>
  <c r="F177" i="5" s="1"/>
  <c r="F178" i="5" s="1"/>
  <c r="F179" i="5" s="1"/>
  <c r="F180" i="5" s="1"/>
  <c r="F181" i="5" s="1"/>
  <c r="F182" i="5" s="1"/>
  <c r="F183" i="5" s="1"/>
  <c r="F184" i="5" s="1"/>
  <c r="F185" i="5" s="1"/>
  <c r="F186" i="5" s="1"/>
  <c r="F187" i="5" s="1"/>
  <c r="F188" i="5" s="1"/>
  <c r="F189" i="5" s="1"/>
  <c r="F190" i="5" s="1"/>
  <c r="F191" i="5" s="1"/>
  <c r="F192" i="5" s="1"/>
  <c r="F193" i="5" s="1"/>
  <c r="F194" i="5" s="1"/>
  <c r="F195" i="5" s="1"/>
  <c r="F196" i="5" s="1"/>
  <c r="F197" i="5" s="1"/>
  <c r="F198" i="5" s="1"/>
  <c r="F199" i="5" s="1"/>
  <c r="F200" i="5" s="1"/>
  <c r="F201" i="5" s="1"/>
  <c r="F202" i="5" s="1"/>
  <c r="F203" i="5" s="1"/>
  <c r="F204" i="5" s="1"/>
  <c r="F205" i="5" s="1"/>
  <c r="F206" i="5" s="1"/>
  <c r="F207" i="5" s="1"/>
  <c r="F208" i="5" s="1"/>
  <c r="F209" i="5" s="1"/>
  <c r="F210" i="5" s="1"/>
  <c r="F211" i="5" s="1"/>
  <c r="F212" i="5" s="1"/>
  <c r="F213" i="5" s="1"/>
  <c r="F214" i="5" s="1"/>
  <c r="F215" i="5" s="1"/>
  <c r="E11" i="5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E45" i="5" s="1"/>
  <c r="E46" i="5" s="1"/>
  <c r="E47" i="5" s="1"/>
  <c r="E48" i="5" s="1"/>
  <c r="E49" i="5" s="1"/>
  <c r="E50" i="5" s="1"/>
  <c r="E51" i="5" s="1"/>
  <c r="E52" i="5" s="1"/>
  <c r="E53" i="5" s="1"/>
  <c r="E54" i="5" s="1"/>
  <c r="E55" i="5" s="1"/>
  <c r="E56" i="5" s="1"/>
  <c r="E57" i="5" s="1"/>
  <c r="E58" i="5" s="1"/>
  <c r="E59" i="5" s="1"/>
  <c r="E60" i="5" s="1"/>
  <c r="E61" i="5" s="1"/>
  <c r="E62" i="5" s="1"/>
  <c r="E63" i="5" s="1"/>
  <c r="E64" i="5" s="1"/>
  <c r="E65" i="5" s="1"/>
  <c r="E66" i="5" s="1"/>
  <c r="E67" i="5" s="1"/>
  <c r="E68" i="5" s="1"/>
  <c r="E69" i="5" s="1"/>
  <c r="E70" i="5" s="1"/>
  <c r="E71" i="5" s="1"/>
  <c r="E72" i="5" s="1"/>
  <c r="E73" i="5" s="1"/>
  <c r="E74" i="5" s="1"/>
  <c r="E75" i="5" s="1"/>
  <c r="E76" i="5" s="1"/>
  <c r="E77" i="5" s="1"/>
  <c r="E78" i="5" s="1"/>
  <c r="E79" i="5" s="1"/>
  <c r="E80" i="5" s="1"/>
  <c r="E81" i="5" s="1"/>
  <c r="E82" i="5" s="1"/>
  <c r="E83" i="5" s="1"/>
  <c r="E84" i="5" s="1"/>
  <c r="E85" i="5" s="1"/>
  <c r="E86" i="5" s="1"/>
  <c r="E87" i="5" s="1"/>
  <c r="E88" i="5" s="1"/>
  <c r="E89" i="5" s="1"/>
  <c r="E90" i="5" s="1"/>
  <c r="E91" i="5" s="1"/>
  <c r="E92" i="5" s="1"/>
  <c r="E93" i="5" s="1"/>
  <c r="E94" i="5" s="1"/>
  <c r="E95" i="5" s="1"/>
  <c r="E96" i="5" s="1"/>
  <c r="E97" i="5" s="1"/>
  <c r="E98" i="5" s="1"/>
  <c r="E99" i="5" s="1"/>
  <c r="E100" i="5" s="1"/>
  <c r="E101" i="5" s="1"/>
  <c r="E102" i="5" s="1"/>
  <c r="E103" i="5" s="1"/>
  <c r="E104" i="5" s="1"/>
  <c r="E105" i="5" s="1"/>
  <c r="E106" i="5" s="1"/>
  <c r="E107" i="5" s="1"/>
  <c r="E108" i="5" s="1"/>
  <c r="E109" i="5" s="1"/>
  <c r="E110" i="5" s="1"/>
  <c r="E111" i="5" s="1"/>
  <c r="E112" i="5" s="1"/>
  <c r="E113" i="5" s="1"/>
  <c r="E114" i="5" s="1"/>
  <c r="E115" i="5" s="1"/>
  <c r="E116" i="5" s="1"/>
  <c r="E117" i="5" s="1"/>
  <c r="E118" i="5" s="1"/>
  <c r="E119" i="5" s="1"/>
  <c r="E120" i="5" s="1"/>
  <c r="E121" i="5" s="1"/>
  <c r="E122" i="5" s="1"/>
  <c r="E123" i="5" s="1"/>
  <c r="E124" i="5" s="1"/>
  <c r="E125" i="5" s="1"/>
  <c r="E126" i="5" s="1"/>
  <c r="E127" i="5" s="1"/>
  <c r="E128" i="5" s="1"/>
  <c r="E129" i="5" s="1"/>
  <c r="E130" i="5" s="1"/>
  <c r="E131" i="5" s="1"/>
  <c r="E132" i="5" s="1"/>
  <c r="E133" i="5" s="1"/>
  <c r="E134" i="5" s="1"/>
  <c r="E135" i="5" s="1"/>
  <c r="E136" i="5" s="1"/>
  <c r="E137" i="5" s="1"/>
  <c r="E138" i="5" s="1"/>
  <c r="E139" i="5" s="1"/>
  <c r="E140" i="5" s="1"/>
  <c r="E141" i="5" s="1"/>
  <c r="E142" i="5" s="1"/>
  <c r="E143" i="5" s="1"/>
  <c r="E144" i="5" s="1"/>
  <c r="E145" i="5" s="1"/>
  <c r="E146" i="5" s="1"/>
  <c r="E147" i="5" s="1"/>
  <c r="E148" i="5" s="1"/>
  <c r="E149" i="5" s="1"/>
  <c r="E150" i="5" s="1"/>
  <c r="E151" i="5" s="1"/>
  <c r="E152" i="5" s="1"/>
  <c r="E153" i="5" s="1"/>
  <c r="E154" i="5" s="1"/>
  <c r="E155" i="5" s="1"/>
  <c r="E156" i="5" s="1"/>
  <c r="E157" i="5" s="1"/>
  <c r="E158" i="5" s="1"/>
  <c r="E159" i="5" s="1"/>
  <c r="E160" i="5" s="1"/>
  <c r="E161" i="5" s="1"/>
  <c r="E162" i="5" s="1"/>
  <c r="E163" i="5" s="1"/>
  <c r="E164" i="5" s="1"/>
  <c r="E165" i="5" s="1"/>
  <c r="E166" i="5" s="1"/>
  <c r="E167" i="5" s="1"/>
  <c r="E168" i="5" s="1"/>
  <c r="E169" i="5" s="1"/>
  <c r="E170" i="5" s="1"/>
  <c r="E171" i="5" s="1"/>
  <c r="E172" i="5" s="1"/>
  <c r="E173" i="5" s="1"/>
  <c r="E174" i="5" s="1"/>
  <c r="E175" i="5" s="1"/>
  <c r="E176" i="5" s="1"/>
  <c r="E177" i="5" s="1"/>
  <c r="E178" i="5" s="1"/>
  <c r="E179" i="5" s="1"/>
  <c r="E180" i="5" s="1"/>
  <c r="E181" i="5" s="1"/>
  <c r="E182" i="5" s="1"/>
  <c r="E183" i="5" s="1"/>
  <c r="E184" i="5" s="1"/>
  <c r="E185" i="5" s="1"/>
  <c r="E186" i="5" s="1"/>
  <c r="E187" i="5" s="1"/>
  <c r="E188" i="5" s="1"/>
  <c r="E189" i="5" s="1"/>
  <c r="E190" i="5" s="1"/>
  <c r="E191" i="5" s="1"/>
  <c r="E192" i="5" s="1"/>
  <c r="E193" i="5" s="1"/>
  <c r="E194" i="5" s="1"/>
  <c r="E195" i="5" s="1"/>
  <c r="E196" i="5" s="1"/>
  <c r="E197" i="5" s="1"/>
  <c r="E198" i="5" s="1"/>
  <c r="E199" i="5" s="1"/>
  <c r="E200" i="5" s="1"/>
  <c r="E201" i="5" s="1"/>
  <c r="E202" i="5" s="1"/>
  <c r="E203" i="5" s="1"/>
  <c r="E204" i="5" s="1"/>
  <c r="E205" i="5" s="1"/>
  <c r="E206" i="5" s="1"/>
  <c r="E207" i="5" s="1"/>
  <c r="E208" i="5" s="1"/>
  <c r="E209" i="5" s="1"/>
  <c r="E210" i="5" s="1"/>
  <c r="E211" i="5" s="1"/>
  <c r="E212" i="5" s="1"/>
  <c r="E213" i="5" s="1"/>
  <c r="E214" i="5" s="1"/>
  <c r="E215" i="5" s="1"/>
  <c r="D11" i="5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D81" i="5" s="1"/>
  <c r="D82" i="5" s="1"/>
  <c r="D83" i="5" s="1"/>
  <c r="D84" i="5" s="1"/>
  <c r="D85" i="5" s="1"/>
  <c r="D86" i="5" s="1"/>
  <c r="D87" i="5" s="1"/>
  <c r="D88" i="5" s="1"/>
  <c r="D89" i="5" s="1"/>
  <c r="D90" i="5" s="1"/>
  <c r="D91" i="5" s="1"/>
  <c r="D92" i="5" s="1"/>
  <c r="D93" i="5" s="1"/>
  <c r="D94" i="5" s="1"/>
  <c r="D95" i="5" s="1"/>
  <c r="D96" i="5" s="1"/>
  <c r="D97" i="5" s="1"/>
  <c r="D98" i="5" s="1"/>
  <c r="D99" i="5" s="1"/>
  <c r="D100" i="5" s="1"/>
  <c r="D101" i="5" s="1"/>
  <c r="D102" i="5" s="1"/>
  <c r="D103" i="5" s="1"/>
  <c r="D104" i="5" s="1"/>
  <c r="D105" i="5" s="1"/>
  <c r="D106" i="5" s="1"/>
  <c r="D107" i="5" s="1"/>
  <c r="D108" i="5" s="1"/>
  <c r="D109" i="5" s="1"/>
  <c r="D110" i="5" s="1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D121" i="5" s="1"/>
  <c r="D122" i="5" s="1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D133" i="5" s="1"/>
  <c r="D134" i="5" s="1"/>
  <c r="D135" i="5" s="1"/>
  <c r="D136" i="5" s="1"/>
  <c r="D137" i="5" s="1"/>
  <c r="D138" i="5" s="1"/>
  <c r="D139" i="5" s="1"/>
  <c r="D140" i="5" s="1"/>
  <c r="D141" i="5" s="1"/>
  <c r="D142" i="5" s="1"/>
  <c r="D143" i="5" s="1"/>
  <c r="D144" i="5" s="1"/>
  <c r="D145" i="5" s="1"/>
  <c r="D146" i="5" s="1"/>
  <c r="D147" i="5" s="1"/>
  <c r="D148" i="5" s="1"/>
  <c r="D149" i="5" s="1"/>
  <c r="D150" i="5" s="1"/>
  <c r="D151" i="5" s="1"/>
  <c r="D152" i="5" s="1"/>
  <c r="D153" i="5" s="1"/>
  <c r="D154" i="5" s="1"/>
  <c r="D155" i="5" s="1"/>
  <c r="D156" i="5" s="1"/>
  <c r="D157" i="5" s="1"/>
  <c r="D158" i="5" s="1"/>
  <c r="D159" i="5" s="1"/>
  <c r="D160" i="5" s="1"/>
  <c r="D161" i="5" s="1"/>
  <c r="D162" i="5" s="1"/>
  <c r="D163" i="5" s="1"/>
  <c r="D164" i="5" s="1"/>
  <c r="D165" i="5" s="1"/>
  <c r="D166" i="5" s="1"/>
  <c r="D167" i="5" s="1"/>
  <c r="D168" i="5" s="1"/>
  <c r="D169" i="5" s="1"/>
  <c r="D170" i="5" s="1"/>
  <c r="D171" i="5" s="1"/>
  <c r="D172" i="5" s="1"/>
  <c r="D173" i="5" s="1"/>
  <c r="D174" i="5" s="1"/>
  <c r="D175" i="5" s="1"/>
  <c r="D176" i="5" s="1"/>
  <c r="D177" i="5" s="1"/>
  <c r="D178" i="5" s="1"/>
  <c r="D179" i="5" s="1"/>
  <c r="D180" i="5" s="1"/>
  <c r="D181" i="5" s="1"/>
  <c r="D182" i="5" s="1"/>
  <c r="D183" i="5" s="1"/>
  <c r="D184" i="5" s="1"/>
  <c r="D185" i="5" s="1"/>
  <c r="D186" i="5" s="1"/>
  <c r="D187" i="5" s="1"/>
  <c r="D188" i="5" s="1"/>
  <c r="D189" i="5" s="1"/>
  <c r="D190" i="5" s="1"/>
  <c r="D191" i="5" s="1"/>
  <c r="D192" i="5" s="1"/>
  <c r="D193" i="5" s="1"/>
  <c r="D194" i="5" s="1"/>
  <c r="D195" i="5" s="1"/>
  <c r="D196" i="5" s="1"/>
  <c r="D197" i="5" s="1"/>
  <c r="D198" i="5" s="1"/>
  <c r="D199" i="5" s="1"/>
  <c r="D200" i="5" s="1"/>
  <c r="D201" i="5" s="1"/>
  <c r="D202" i="5" s="1"/>
  <c r="D203" i="5" s="1"/>
  <c r="D204" i="5" s="1"/>
  <c r="D205" i="5" s="1"/>
  <c r="D206" i="5" s="1"/>
  <c r="D207" i="5" s="1"/>
  <c r="D208" i="5" s="1"/>
  <c r="D209" i="5" s="1"/>
  <c r="D210" i="5" s="1"/>
  <c r="D211" i="5" s="1"/>
  <c r="D212" i="5" s="1"/>
  <c r="D213" i="5" s="1"/>
  <c r="D214" i="5" s="1"/>
  <c r="D215" i="5" s="1"/>
  <c r="C11" i="5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156" i="5" s="1"/>
  <c r="C157" i="5" s="1"/>
  <c r="C158" i="5" s="1"/>
  <c r="C159" i="5" s="1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C170" i="5" s="1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C182" i="5" s="1"/>
  <c r="C183" i="5" s="1"/>
  <c r="C184" i="5" s="1"/>
  <c r="C185" i="5" s="1"/>
  <c r="C186" i="5" s="1"/>
  <c r="C187" i="5" s="1"/>
  <c r="C188" i="5" s="1"/>
  <c r="C189" i="5" s="1"/>
  <c r="C190" i="5" s="1"/>
  <c r="C191" i="5" s="1"/>
  <c r="C192" i="5" s="1"/>
  <c r="C193" i="5" s="1"/>
  <c r="C194" i="5" s="1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C206" i="5" s="1"/>
  <c r="C207" i="5" s="1"/>
  <c r="C208" i="5" s="1"/>
  <c r="C209" i="5" s="1"/>
  <c r="C210" i="5" s="1"/>
  <c r="C211" i="5" s="1"/>
  <c r="C212" i="5" s="1"/>
  <c r="C213" i="5" s="1"/>
  <c r="C214" i="5" s="1"/>
  <c r="C215" i="5" s="1"/>
  <c r="D9" i="5" l="1" a="1"/>
  <c r="D9" i="5" s="1"/>
  <c r="E9" i="5" a="1"/>
  <c r="E9" i="5" s="1"/>
  <c r="F9" i="5" a="1"/>
  <c r="F9" i="5" s="1"/>
  <c r="G9" i="5" a="1"/>
  <c r="G9" i="5" s="1"/>
  <c r="H5" i="5"/>
  <c r="H9" i="5" a="1"/>
  <c r="H9" i="5" s="1"/>
  <c r="C9" i="5" a="1"/>
  <c r="C9" i="5" s="1"/>
  <c r="H10" i="4" a="1"/>
  <c r="H10" i="4" s="1"/>
  <c r="H9" i="4" a="1"/>
  <c r="H9" i="4" s="1"/>
  <c r="D3" i="3"/>
  <c r="D14" i="3" s="1"/>
  <c r="F10" i="1"/>
  <c r="G6" i="6" s="1"/>
  <c r="D4" i="1"/>
  <c r="D5" i="1" s="1"/>
  <c r="D6" i="1" s="1"/>
  <c r="P3" i="1" s="1"/>
  <c r="F15" i="1"/>
  <c r="G7" i="6" s="1"/>
  <c r="D10" i="1"/>
  <c r="G5" i="6" s="1"/>
  <c r="C8" i="5" l="1"/>
  <c r="C10" i="5"/>
  <c r="H8" i="5"/>
  <c r="H10" i="5"/>
  <c r="G8" i="5"/>
  <c r="G10" i="5"/>
  <c r="F10" i="5"/>
  <c r="E8" i="5"/>
  <c r="E10" i="5"/>
  <c r="D8" i="5"/>
  <c r="D10" i="5"/>
  <c r="F9" i="1"/>
  <c r="P4" i="1" s="1"/>
  <c r="M5" i="4"/>
  <c r="K11" i="1"/>
  <c r="N5" i="4"/>
  <c r="Q5" i="4"/>
  <c r="K14" i="1"/>
  <c r="O5" i="4"/>
  <c r="P5" i="4"/>
  <c r="K12" i="1"/>
  <c r="I5" i="4"/>
  <c r="I6" i="4" s="1"/>
  <c r="I7" i="4" s="1"/>
  <c r="J5" i="4"/>
  <c r="H5" i="4"/>
  <c r="H6" i="4" s="1"/>
  <c r="H7" i="4" s="1"/>
  <c r="K5" i="4"/>
  <c r="J13" i="1"/>
  <c r="P5" i="1" s="1"/>
  <c r="L5" i="4"/>
  <c r="D27" i="3"/>
  <c r="D25" i="3"/>
  <c r="D24" i="3"/>
  <c r="D32" i="3"/>
  <c r="D45" i="3"/>
  <c r="D40" i="3"/>
  <c r="D39" i="3"/>
  <c r="D29" i="3"/>
  <c r="D37" i="3"/>
  <c r="D28" i="3"/>
  <c r="D36" i="3"/>
  <c r="D26" i="3"/>
  <c r="D41" i="3"/>
  <c r="D31" i="3"/>
  <c r="D38" i="3"/>
  <c r="D30" i="3"/>
  <c r="D23" i="3"/>
  <c r="D35" i="3"/>
  <c r="D44" i="3"/>
  <c r="D22" i="3"/>
  <c r="D34" i="3"/>
  <c r="D43" i="3"/>
  <c r="D33" i="3"/>
  <c r="D42" i="3"/>
  <c r="D6" i="3"/>
  <c r="G3" i="3" s="1" a="1"/>
  <c r="G3" i="3" s="1"/>
  <c r="D12" i="3"/>
  <c r="D11" i="3"/>
  <c r="D8" i="3"/>
  <c r="D21" i="3"/>
  <c r="D10" i="3"/>
  <c r="D20" i="3"/>
  <c r="D7" i="3"/>
  <c r="D19" i="3"/>
  <c r="D13" i="3"/>
  <c r="D18" i="3"/>
  <c r="D17" i="3"/>
  <c r="D16" i="3"/>
  <c r="D15" i="3"/>
  <c r="D9" i="3"/>
  <c r="G5" i="1"/>
  <c r="J4" i="1"/>
  <c r="L6" i="4"/>
  <c r="K6" i="4"/>
  <c r="N6" i="4"/>
  <c r="O6" i="4"/>
  <c r="P6" i="4"/>
  <c r="Q6" i="4"/>
  <c r="M6" i="4"/>
  <c r="P6" i="1" l="1"/>
  <c r="D3" i="4"/>
  <c r="D4" i="4" s="1"/>
  <c r="D22" i="6"/>
  <c r="G8" i="6"/>
  <c r="E3" i="6"/>
  <c r="M7" i="4"/>
  <c r="Q7" i="4"/>
  <c r="P7" i="4"/>
  <c r="O7" i="4"/>
  <c r="K7" i="4"/>
  <c r="L7" i="4"/>
  <c r="L13" i="1" s="1"/>
  <c r="N7" i="4"/>
  <c r="J6" i="4"/>
  <c r="J7" i="4" s="1"/>
  <c r="H3" i="3" a="1"/>
  <c r="H3" i="3" s="1"/>
  <c r="H4" i="3" s="1"/>
  <c r="I3" i="3" a="1"/>
  <c r="I3" i="3" s="1"/>
  <c r="I4" i="3" s="1"/>
  <c r="K3" i="3" a="1"/>
  <c r="K3" i="3" s="1"/>
  <c r="K4" i="3" s="1"/>
  <c r="J3" i="3" a="1"/>
  <c r="J3" i="3" s="1"/>
  <c r="J4" i="3" s="1"/>
  <c r="G4" i="3"/>
  <c r="L3" i="3" a="1"/>
  <c r="L3" i="3" s="1"/>
  <c r="L4" i="3" s="1"/>
  <c r="G4" i="1"/>
  <c r="J5" i="1" l="1"/>
  <c r="J6" i="1" s="1"/>
  <c r="G6" i="1" l="1"/>
  <c r="J10" i="1" s="1"/>
  <c r="J15" i="1" s="1"/>
  <c r="J19" i="1" s="1"/>
</calcChain>
</file>

<file path=xl/sharedStrings.xml><?xml version="1.0" encoding="utf-8"?>
<sst xmlns="http://schemas.openxmlformats.org/spreadsheetml/2006/main" count="115" uniqueCount="79">
  <si>
    <t>Income Calculator</t>
  </si>
  <si>
    <t>Salary</t>
  </si>
  <si>
    <t>Expenses vs Income</t>
  </si>
  <si>
    <t>Total Income</t>
  </si>
  <si>
    <t>Total Expenses</t>
  </si>
  <si>
    <t>Monthly</t>
  </si>
  <si>
    <t>Annual</t>
  </si>
  <si>
    <t>Difference</t>
  </si>
  <si>
    <t>Rent</t>
  </si>
  <si>
    <t>Utilities</t>
  </si>
  <si>
    <t>Phone</t>
  </si>
  <si>
    <t>Toiletries</t>
  </si>
  <si>
    <t>Clothing</t>
  </si>
  <si>
    <t>Transportation</t>
  </si>
  <si>
    <t>Car Payment</t>
  </si>
  <si>
    <t>Gas</t>
  </si>
  <si>
    <t>Insurance</t>
  </si>
  <si>
    <t>Car</t>
  </si>
  <si>
    <t>Taxes</t>
  </si>
  <si>
    <t>Subscriptions</t>
  </si>
  <si>
    <t>Medical</t>
  </si>
  <si>
    <t>Savings</t>
  </si>
  <si>
    <t>Groceries</t>
  </si>
  <si>
    <t>Living</t>
  </si>
  <si>
    <t>Doctor</t>
  </si>
  <si>
    <t>Medicine</t>
  </si>
  <si>
    <t>Dentist</t>
  </si>
  <si>
    <t>Investment</t>
  </si>
  <si>
    <t>Retirement</t>
  </si>
  <si>
    <t>Hair</t>
  </si>
  <si>
    <t>↗</t>
  </si>
  <si>
    <t>Available</t>
  </si>
  <si>
    <t>Final</t>
  </si>
  <si>
    <t>Adjustables</t>
  </si>
  <si>
    <t>College Loan</t>
  </si>
  <si>
    <t>Amount Budgeted</t>
  </si>
  <si>
    <t>Savings Projections</t>
  </si>
  <si>
    <t>Total</t>
  </si>
  <si>
    <t>Month</t>
  </si>
  <si>
    <t>Months</t>
  </si>
  <si>
    <t>Months til</t>
  </si>
  <si>
    <t>Years til</t>
  </si>
  <si>
    <t>←</t>
  </si>
  <si>
    <t>Retirement Breakdown</t>
  </si>
  <si>
    <t xml:space="preserve">Current Percentage </t>
  </si>
  <si>
    <t>401k Matching</t>
  </si>
  <si>
    <t>Percent</t>
  </si>
  <si>
    <t>Company match?</t>
  </si>
  <si>
    <t>My amount</t>
  </si>
  <si>
    <t>Company amount</t>
  </si>
  <si>
    <t>Total into retirement</t>
  </si>
  <si>
    <t>College Loan Repayment</t>
  </si>
  <si>
    <t>Total Loan</t>
  </si>
  <si>
    <t>Months Until Paid</t>
  </si>
  <si>
    <t>Years Until Paid</t>
  </si>
  <si>
    <t>Current Rate</t>
  </si>
  <si>
    <t>Less 200</t>
  </si>
  <si>
    <t>Less 100</t>
  </si>
  <si>
    <t>More 100</t>
  </si>
  <si>
    <t>More 200</t>
  </si>
  <si>
    <t>More 300</t>
  </si>
  <si>
    <t>Y</t>
  </si>
  <si>
    <t>M</t>
  </si>
  <si>
    <t>Date Paid Off</t>
  </si>
  <si>
    <t>Budget per Month</t>
  </si>
  <si>
    <t xml:space="preserve">             Monthly Expenses</t>
  </si>
  <si>
    <t>Expense Breakdown</t>
  </si>
  <si>
    <t>Overview</t>
  </si>
  <si>
    <t>Total Adjustables</t>
  </si>
  <si>
    <t>Total Left</t>
  </si>
  <si>
    <t>D</t>
  </si>
  <si>
    <t>Left over</t>
  </si>
  <si>
    <t>Misc</t>
  </si>
  <si>
    <t>Misc 2</t>
  </si>
  <si>
    <t>w/ Match</t>
  </si>
  <si>
    <t>Taxes (25%)</t>
  </si>
  <si>
    <t>Income after taxes</t>
  </si>
  <si>
    <t>Monthly after taxes</t>
  </si>
  <si>
    <t>Misc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</si>
</sst>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70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0">
    <xf numFmtId="0" fontId="0" fillId="0" borderId="0" xfId="0"/>
    <xf numFmtId="0" fontId="0" fillId="0" borderId="1" xfId="0" applyBorder="1"/>
    <xf numFmtId="44" fontId="0" fillId="0" borderId="1" xfId="1" applyFont="1" applyBorder="1"/>
    <xf numFmtId="0" fontId="0" fillId="0" borderId="1" xfId="0" applyFill="1" applyBorder="1"/>
    <xf numFmtId="0" fontId="0" fillId="0" borderId="0" xfId="0" applyBorder="1"/>
    <xf numFmtId="44" fontId="0" fillId="0" borderId="0" xfId="0" applyNumberFormat="1" applyBorder="1"/>
    <xf numFmtId="170" fontId="0" fillId="0" borderId="1" xfId="0" applyNumberFormat="1" applyBorder="1"/>
    <xf numFmtId="0" fontId="0" fillId="0" borderId="5" xfId="0" applyBorder="1"/>
    <xf numFmtId="0" fontId="0" fillId="0" borderId="1" xfId="0" applyBorder="1" applyAlignment="1">
      <alignment horizontal="left"/>
    </xf>
    <xf numFmtId="170" fontId="0" fillId="0" borderId="8" xfId="0" applyNumberFormat="1" applyBorder="1"/>
    <xf numFmtId="170" fontId="0" fillId="0" borderId="13" xfId="0" applyNumberFormat="1" applyBorder="1"/>
    <xf numFmtId="0" fontId="0" fillId="0" borderId="6" xfId="0" applyBorder="1"/>
    <xf numFmtId="170" fontId="0" fillId="0" borderId="0" xfId="0" applyNumberFormat="1" applyBorder="1"/>
    <xf numFmtId="0" fontId="2" fillId="0" borderId="1" xfId="0" applyFont="1" applyBorder="1"/>
    <xf numFmtId="0" fontId="0" fillId="0" borderId="1" xfId="0" applyBorder="1" applyAlignment="1"/>
    <xf numFmtId="0" fontId="0" fillId="0" borderId="4" xfId="0" applyBorder="1"/>
    <xf numFmtId="170" fontId="0" fillId="0" borderId="11" xfId="0" applyNumberFormat="1" applyBorder="1"/>
    <xf numFmtId="0" fontId="0" fillId="0" borderId="7" xfId="0" applyBorder="1"/>
    <xf numFmtId="0" fontId="0" fillId="0" borderId="9" xfId="0" applyBorder="1"/>
    <xf numFmtId="170" fontId="0" fillId="0" borderId="10" xfId="0" applyNumberFormat="1" applyBorder="1"/>
    <xf numFmtId="0" fontId="6" fillId="8" borderId="7" xfId="0" applyFont="1" applyFill="1" applyBorder="1" applyAlignment="1">
      <alignment horizontal="left"/>
    </xf>
    <xf numFmtId="0" fontId="6" fillId="8" borderId="8" xfId="0" applyFont="1" applyFill="1" applyBorder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8" borderId="5" xfId="0" applyFont="1" applyFill="1" applyBorder="1" applyAlignment="1">
      <alignment horizontal="left"/>
    </xf>
    <xf numFmtId="0" fontId="7" fillId="8" borderId="12" xfId="0" applyFont="1" applyFill="1" applyBorder="1" applyAlignment="1">
      <alignment horizontal="left"/>
    </xf>
    <xf numFmtId="0" fontId="7" fillId="8" borderId="6" xfId="0" applyFont="1" applyFill="1" applyBorder="1" applyAlignment="1">
      <alignment horizontal="left"/>
    </xf>
    <xf numFmtId="44" fontId="0" fillId="0" borderId="10" xfId="0" applyNumberFormat="1" applyBorder="1"/>
    <xf numFmtId="44" fontId="0" fillId="0" borderId="11" xfId="0" applyNumberFormat="1" applyBorder="1"/>
    <xf numFmtId="9" fontId="0" fillId="0" borderId="1" xfId="2" applyFont="1" applyBorder="1" applyAlignment="1">
      <alignment horizontal="center"/>
    </xf>
    <xf numFmtId="0" fontId="0" fillId="0" borderId="2" xfId="0" applyBorder="1"/>
    <xf numFmtId="0" fontId="0" fillId="0" borderId="0" xfId="0" applyAlignment="1">
      <alignment vertical="center"/>
    </xf>
    <xf numFmtId="170" fontId="0" fillId="0" borderId="1" xfId="0" applyNumberFormat="1" applyBorder="1" applyAlignment="1">
      <alignment horizontal="center"/>
    </xf>
    <xf numFmtId="2" fontId="0" fillId="0" borderId="1" xfId="0" applyNumberFormat="1" applyBorder="1"/>
    <xf numFmtId="170" fontId="0" fillId="0" borderId="0" xfId="0" applyNumberFormat="1" applyBorder="1" applyAlignment="1">
      <alignment horizontal="center"/>
    </xf>
    <xf numFmtId="44" fontId="2" fillId="0" borderId="12" xfId="0" applyNumberFormat="1" applyFont="1" applyBorder="1"/>
    <xf numFmtId="44" fontId="2" fillId="0" borderId="6" xfId="0" applyNumberFormat="1" applyFont="1" applyBorder="1"/>
    <xf numFmtId="0" fontId="2" fillId="9" borderId="1" xfId="0" applyFont="1" applyFill="1" applyBorder="1"/>
    <xf numFmtId="14" fontId="2" fillId="9" borderId="1" xfId="0" applyNumberFormat="1" applyFont="1" applyFill="1" applyBorder="1"/>
    <xf numFmtId="0" fontId="6" fillId="6" borderId="5" xfId="0" applyFont="1" applyFill="1" applyBorder="1" applyAlignment="1">
      <alignment horizontal="left"/>
    </xf>
    <xf numFmtId="0" fontId="6" fillId="6" borderId="12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6" fillId="0" borderId="9" xfId="0" applyFont="1" applyFill="1" applyBorder="1" applyAlignment="1"/>
    <xf numFmtId="0" fontId="0" fillId="0" borderId="1" xfId="0" applyFill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44" fontId="0" fillId="0" borderId="1" xfId="1" applyFont="1" applyBorder="1" applyAlignment="1"/>
    <xf numFmtId="0" fontId="0" fillId="8" borderId="1" xfId="0" applyFill="1" applyBorder="1"/>
    <xf numFmtId="0" fontId="0" fillId="3" borderId="1" xfId="0" applyFill="1" applyBorder="1"/>
    <xf numFmtId="170" fontId="2" fillId="0" borderId="1" xfId="0" applyNumberFormat="1" applyFont="1" applyBorder="1"/>
    <xf numFmtId="0" fontId="0" fillId="0" borderId="1" xfId="0" applyBorder="1" applyAlignment="1">
      <alignment horizontal="center" vertical="center"/>
    </xf>
    <xf numFmtId="0" fontId="0" fillId="12" borderId="1" xfId="0" applyFill="1" applyBorder="1"/>
    <xf numFmtId="0" fontId="0" fillId="13" borderId="1" xfId="0" applyFill="1" applyBorder="1"/>
    <xf numFmtId="0" fontId="3" fillId="16" borderId="1" xfId="0" applyFont="1" applyFill="1" applyBorder="1"/>
    <xf numFmtId="0" fontId="3" fillId="15" borderId="1" xfId="0" applyFont="1" applyFill="1" applyBorder="1"/>
    <xf numFmtId="0" fontId="3" fillId="14" borderId="1" xfId="0" applyFont="1" applyFill="1" applyBorder="1"/>
    <xf numFmtId="170" fontId="9" fillId="0" borderId="1" xfId="0" applyNumberFormat="1" applyFont="1" applyFill="1" applyBorder="1"/>
    <xf numFmtId="2" fontId="2" fillId="4" borderId="1" xfId="0" applyNumberFormat="1" applyFont="1" applyFill="1" applyBorder="1"/>
    <xf numFmtId="2" fontId="8" fillId="4" borderId="1" xfId="0" applyNumberFormat="1" applyFont="1" applyFill="1" applyBorder="1"/>
    <xf numFmtId="0" fontId="2" fillId="4" borderId="1" xfId="0" applyFont="1" applyFill="1" applyBorder="1"/>
    <xf numFmtId="0" fontId="8" fillId="4" borderId="1" xfId="0" applyFont="1" applyFill="1" applyBorder="1"/>
    <xf numFmtId="14" fontId="2" fillId="4" borderId="14" xfId="0" applyNumberFormat="1" applyFont="1" applyFill="1" applyBorder="1"/>
    <xf numFmtId="14" fontId="8" fillId="4" borderId="14" xfId="0" applyNumberFormat="1" applyFont="1" applyFill="1" applyBorder="1"/>
    <xf numFmtId="0" fontId="0" fillId="4" borderId="1" xfId="0" applyFill="1" applyBorder="1"/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2" fillId="7" borderId="3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10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2" fillId="11" borderId="1" xfId="0" applyFon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44" fontId="2" fillId="0" borderId="0" xfId="1" applyFont="1" applyFill="1" applyBorder="1" applyProtection="1">
      <protection locked="0"/>
    </xf>
    <xf numFmtId="0" fontId="0" fillId="0" borderId="13" xfId="0" applyFill="1" applyBorder="1" applyProtection="1">
      <protection locked="0"/>
    </xf>
    <xf numFmtId="9" fontId="0" fillId="0" borderId="13" xfId="2" applyFont="1" applyBorder="1" applyProtection="1">
      <protection locked="0"/>
    </xf>
    <xf numFmtId="0" fontId="0" fillId="0" borderId="13" xfId="0" applyNumberFormat="1" applyBorder="1" applyProtection="1">
      <protection locked="0"/>
    </xf>
    <xf numFmtId="44" fontId="0" fillId="0" borderId="0" xfId="0" applyNumberFormat="1" applyBorder="1" applyProtection="1"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4" fillId="0" borderId="0" xfId="0" applyFont="1" applyBorder="1" applyProtection="1"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2" fillId="6" borderId="12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8" borderId="5" xfId="0" applyFont="1" applyFill="1" applyBorder="1" applyAlignment="1" applyProtection="1">
      <alignment horizontal="center" vertical="center"/>
      <protection locked="0"/>
    </xf>
    <xf numFmtId="0" fontId="2" fillId="8" borderId="6" xfId="0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 applyProtection="1">
      <alignment horizontal="left"/>
      <protection locked="0"/>
    </xf>
    <xf numFmtId="0" fontId="2" fillId="7" borderId="12" xfId="0" applyFont="1" applyFill="1" applyBorder="1" applyAlignment="1" applyProtection="1">
      <alignment horizontal="left"/>
      <protection locked="0"/>
    </xf>
    <xf numFmtId="0" fontId="2" fillId="7" borderId="12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protection locked="0"/>
    </xf>
    <xf numFmtId="170" fontId="0" fillId="7" borderId="5" xfId="0" applyNumberFormat="1" applyFill="1" applyBorder="1" applyAlignment="1" applyProtection="1">
      <protection locked="0"/>
    </xf>
    <xf numFmtId="0" fontId="0" fillId="0" borderId="0" xfId="0" applyFill="1" applyProtection="1">
      <protection locked="0"/>
    </xf>
    <xf numFmtId="170" fontId="0" fillId="0" borderId="1" xfId="0" applyNumberFormat="1" applyBorder="1" applyProtection="1">
      <protection locked="0"/>
    </xf>
    <xf numFmtId="0" fontId="0" fillId="0" borderId="6" xfId="0" applyBorder="1" applyAlignment="1" applyProtection="1">
      <alignment horizontal="left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Protection="1">
      <protection locked="0"/>
    </xf>
    <xf numFmtId="170" fontId="0" fillId="0" borderId="1" xfId="0" applyNumberFormat="1" applyFill="1" applyBorder="1" applyProtection="1">
      <protection locked="0"/>
    </xf>
    <xf numFmtId="170" fontId="0" fillId="0" borderId="0" xfId="0" applyNumberFormat="1" applyFill="1" applyBorder="1" applyProtection="1">
      <protection locked="0"/>
    </xf>
    <xf numFmtId="170" fontId="4" fillId="0" borderId="5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170" fontId="0" fillId="0" borderId="0" xfId="0" applyNumberFormat="1" applyBorder="1" applyProtection="1">
      <protection locked="0"/>
    </xf>
    <xf numFmtId="0" fontId="0" fillId="0" borderId="5" xfId="0" applyFill="1" applyBorder="1" applyAlignment="1" applyProtection="1">
      <alignment horizontal="left"/>
      <protection locked="0"/>
    </xf>
    <xf numFmtId="0" fontId="0" fillId="0" borderId="6" xfId="0" applyFill="1" applyBorder="1" applyAlignment="1" applyProtection="1">
      <alignment horizontal="left"/>
      <protection locked="0"/>
    </xf>
    <xf numFmtId="0" fontId="0" fillId="0" borderId="5" xfId="0" applyFont="1" applyFill="1" applyBorder="1" applyAlignment="1" applyProtection="1">
      <alignment horizontal="left"/>
      <protection locked="0"/>
    </xf>
    <xf numFmtId="0" fontId="0" fillId="0" borderId="6" xfId="0" applyFont="1" applyFill="1" applyBorder="1" applyAlignment="1" applyProtection="1">
      <alignment horizontal="left"/>
      <protection locked="0"/>
    </xf>
    <xf numFmtId="170" fontId="0" fillId="0" borderId="1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0" borderId="0" xfId="0" applyFill="1" applyBorder="1" applyAlignment="1" applyProtection="1">
      <protection locked="0"/>
    </xf>
    <xf numFmtId="0" fontId="0" fillId="0" borderId="1" xfId="0" applyFill="1" applyBorder="1" applyAlignment="1" applyProtection="1">
      <protection locked="0"/>
    </xf>
    <xf numFmtId="0" fontId="0" fillId="0" borderId="13" xfId="0" applyFont="1" applyFill="1" applyBorder="1" applyProtection="1">
      <protection locked="0"/>
    </xf>
    <xf numFmtId="170" fontId="0" fillId="0" borderId="13" xfId="0" applyNumberFormat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0" xfId="0" applyBorder="1" applyAlignment="1" applyProtection="1">
      <protection locked="0"/>
    </xf>
    <xf numFmtId="0" fontId="2" fillId="0" borderId="5" xfId="0" applyFont="1" applyFill="1" applyBorder="1" applyAlignment="1" applyProtection="1">
      <protection locked="0"/>
    </xf>
    <xf numFmtId="9" fontId="0" fillId="0" borderId="1" xfId="2" applyFont="1" applyFill="1" applyBorder="1" applyProtection="1"/>
    <xf numFmtId="9" fontId="0" fillId="0" borderId="3" xfId="2" applyFont="1" applyFill="1" applyBorder="1" applyProtection="1"/>
    <xf numFmtId="9" fontId="0" fillId="0" borderId="14" xfId="2" applyFont="1" applyFill="1" applyBorder="1" applyProtection="1"/>
    <xf numFmtId="170" fontId="2" fillId="7" borderId="6" xfId="0" applyNumberFormat="1" applyFont="1" applyFill="1" applyBorder="1" applyProtection="1"/>
    <xf numFmtId="170" fontId="2" fillId="0" borderId="6" xfId="0" applyNumberFormat="1" applyFont="1" applyBorder="1" applyProtection="1"/>
    <xf numFmtId="170" fontId="2" fillId="7" borderId="10" xfId="0" applyNumberFormat="1" applyFont="1" applyFill="1" applyBorder="1" applyProtection="1"/>
    <xf numFmtId="170" fontId="2" fillId="7" borderId="11" xfId="1" applyNumberFormat="1" applyFont="1" applyFill="1" applyBorder="1" applyAlignment="1" applyProtection="1"/>
    <xf numFmtId="170" fontId="2" fillId="6" borderId="6" xfId="0" applyNumberFormat="1" applyFont="1" applyFill="1" applyBorder="1" applyAlignment="1" applyProtection="1">
      <alignment vertical="center"/>
    </xf>
    <xf numFmtId="44" fontId="2" fillId="3" borderId="1" xfId="1" applyFont="1" applyFill="1" applyBorder="1" applyProtection="1"/>
    <xf numFmtId="44" fontId="0" fillId="0" borderId="1" xfId="1" applyFont="1" applyBorder="1" applyProtection="1"/>
    <xf numFmtId="44" fontId="0" fillId="0" borderId="1" xfId="0" applyNumberFormat="1" applyBorder="1" applyProtection="1"/>
    <xf numFmtId="44" fontId="2" fillId="8" borderId="1" xfId="0" applyNumberFormat="1" applyFont="1" applyFill="1" applyBorder="1" applyProtection="1"/>
    <xf numFmtId="44" fontId="0" fillId="3" borderId="1" xfId="1" applyFont="1" applyFill="1" applyBorder="1" applyAlignment="1" applyProtection="1">
      <alignment horizontal="center"/>
    </xf>
    <xf numFmtId="44" fontId="0" fillId="10" borderId="1" xfId="1" applyFont="1" applyFill="1" applyBorder="1" applyAlignment="1" applyProtection="1">
      <alignment horizontal="center"/>
    </xf>
    <xf numFmtId="44" fontId="0" fillId="8" borderId="1" xfId="1" applyFont="1" applyFill="1" applyBorder="1" applyAlignment="1" applyProtection="1">
      <alignment horizontal="center"/>
    </xf>
    <xf numFmtId="44" fontId="2" fillId="11" borderId="1" xfId="1" applyFont="1" applyFill="1" applyBorder="1" applyAlignment="1" applyProtection="1">
      <alignment horizontal="center"/>
    </xf>
    <xf numFmtId="0" fontId="0" fillId="0" borderId="6" xfId="0" applyBorder="1" applyProtection="1"/>
    <xf numFmtId="0" fontId="2" fillId="3" borderId="3" xfId="0" applyFont="1" applyFill="1" applyBorder="1" applyAlignment="1" applyProtection="1">
      <alignment horizontal="center"/>
      <protection locked="0"/>
    </xf>
    <xf numFmtId="44" fontId="1" fillId="2" borderId="15" xfId="1" applyFont="1" applyFill="1" applyBorder="1" applyProtection="1">
      <protection locked="0"/>
    </xf>
    <xf numFmtId="44" fontId="0" fillId="0" borderId="14" xfId="1" applyFont="1" applyBorder="1" applyProtection="1">
      <protection locked="0"/>
    </xf>
    <xf numFmtId="9" fontId="2" fillId="0" borderId="13" xfId="2" applyFont="1" applyBorder="1"/>
    <xf numFmtId="9" fontId="2" fillId="0" borderId="8" xfId="2" applyFont="1" applyBorder="1"/>
    <xf numFmtId="170" fontId="0" fillId="4" borderId="5" xfId="0" applyNumberFormat="1" applyFill="1" applyBorder="1" applyProtection="1"/>
    <xf numFmtId="9" fontId="0" fillId="2" borderId="15" xfId="2" applyFont="1" applyFill="1" applyBorder="1" applyProtection="1">
      <protection locked="0"/>
    </xf>
    <xf numFmtId="0" fontId="0" fillId="2" borderId="15" xfId="0" applyFill="1" applyBorder="1" applyProtection="1">
      <protection locked="0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Overview!$P$4:$P$6</c:f>
              <c:strCache>
                <c:ptCount val="3"/>
                <c:pt idx="0">
                  <c:v> $1,985.00 </c:v>
                </c:pt>
                <c:pt idx="1">
                  <c:v> $843.75 </c:v>
                </c:pt>
                <c:pt idx="2">
                  <c:v> $296.25 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D8-4998-8EAF-E49972F24933}"/>
              </c:ext>
            </c:extLst>
          </c:dPt>
          <c:dPt>
            <c:idx val="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1D8-4998-8EAF-E49972F24933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1D8-4998-8EAF-E49972F2493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91153672389312"/>
                      <c:h val="0.143979658792650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1D8-4998-8EAF-E49972F249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481379923356224"/>
                      <c:h val="0.203135815650162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1D8-4998-8EAF-E49972F24933}"/>
                </c:ext>
              </c:extLst>
            </c:dLbl>
            <c:dLbl>
              <c:idx val="2"/>
              <c:layout>
                <c:manualLayout>
                  <c:x val="-2.0491803278688544E-2"/>
                  <c:y val="1.04166666666666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434426229508196"/>
                      <c:h val="0.167968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1D8-4998-8EAF-E49972F249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Overview!$N$4:$N$6</c:f>
              <c:strCache>
                <c:ptCount val="3"/>
                <c:pt idx="0">
                  <c:v>Total Expenses</c:v>
                </c:pt>
                <c:pt idx="1">
                  <c:v>Total Adjustables</c:v>
                </c:pt>
                <c:pt idx="2">
                  <c:v>Total Left</c:v>
                </c:pt>
              </c:strCache>
            </c:strRef>
          </c:cat>
          <c:val>
            <c:numRef>
              <c:f>Overview!$P$4:$P$6</c:f>
              <c:numCache>
                <c:formatCode>_("$"* #,##0.00_);_("$"* \(#,##0.00\);_("$"* "-"??_);_(@_)</c:formatCode>
                <c:ptCount val="3"/>
                <c:pt idx="0">
                  <c:v>1985</c:v>
                </c:pt>
                <c:pt idx="1">
                  <c:v>843.75</c:v>
                </c:pt>
                <c:pt idx="2">
                  <c:v>296.25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D8-4998-8EAF-E49972F2493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Category</c:v>
          </c:tx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BF1-419F-88A6-05D077BF6868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F1-419F-88A6-05D077BF6868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BF1-419F-88A6-05D077BF6868}"/>
              </c:ext>
            </c:extLst>
          </c:dPt>
          <c:dPt>
            <c:idx val="3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F1-419F-88A6-05D077BF68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Expenses!$F$5:$F$8</c:f>
              <c:strCache>
                <c:ptCount val="4"/>
                <c:pt idx="0">
                  <c:v>Living</c:v>
                </c:pt>
                <c:pt idx="1">
                  <c:v>Transportation</c:v>
                </c:pt>
                <c:pt idx="2">
                  <c:v>Medical</c:v>
                </c:pt>
                <c:pt idx="3">
                  <c:v>Adjustables</c:v>
                </c:pt>
              </c:strCache>
            </c:strRef>
          </c:cat>
          <c:val>
            <c:numRef>
              <c:f>Expenses!$G$5:$G$8</c:f>
              <c:numCache>
                <c:formatCode>_("$"* #,##0.00_);_("$"* \(#,##0.00\);_("$"* "-"??_);_(@_)</c:formatCode>
                <c:ptCount val="4"/>
                <c:pt idx="0">
                  <c:v>1370</c:v>
                </c:pt>
                <c:pt idx="1">
                  <c:v>545</c:v>
                </c:pt>
                <c:pt idx="2">
                  <c:v>70</c:v>
                </c:pt>
                <c:pt idx="3">
                  <c:v>843.75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1-419F-88A6-05D077BF6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Savings</a:t>
            </a:r>
            <a:r>
              <a:rPr lang="en-US" baseline="0"/>
              <a:t>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Savings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Savings!$C$6:$C$29</c:f>
              <c:numCache>
                <c:formatCode>General</c:formatCode>
                <c:ptCount val="24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51</c:v>
                </c:pt>
                <c:pt idx="17">
                  <c:v>54</c:v>
                </c:pt>
                <c:pt idx="18">
                  <c:v>57</c:v>
                </c:pt>
                <c:pt idx="19">
                  <c:v>60</c:v>
                </c:pt>
                <c:pt idx="20">
                  <c:v>63</c:v>
                </c:pt>
                <c:pt idx="21">
                  <c:v>66</c:v>
                </c:pt>
                <c:pt idx="22">
                  <c:v>69</c:v>
                </c:pt>
                <c:pt idx="23">
                  <c:v>72</c:v>
                </c:pt>
              </c:numCache>
            </c:numRef>
          </c:cat>
          <c:val>
            <c:numRef>
              <c:f>Savings!$D$6:$D$29</c:f>
              <c:numCache>
                <c:formatCode>"$"#,##0.00</c:formatCode>
                <c:ptCount val="24"/>
                <c:pt idx="0">
                  <c:v>900</c:v>
                </c:pt>
                <c:pt idx="1">
                  <c:v>1800</c:v>
                </c:pt>
                <c:pt idx="2">
                  <c:v>2700</c:v>
                </c:pt>
                <c:pt idx="3">
                  <c:v>3600</c:v>
                </c:pt>
                <c:pt idx="4">
                  <c:v>4500</c:v>
                </c:pt>
                <c:pt idx="5">
                  <c:v>5400</c:v>
                </c:pt>
                <c:pt idx="6">
                  <c:v>6300</c:v>
                </c:pt>
                <c:pt idx="7">
                  <c:v>7200</c:v>
                </c:pt>
                <c:pt idx="8">
                  <c:v>8100</c:v>
                </c:pt>
                <c:pt idx="9">
                  <c:v>9000</c:v>
                </c:pt>
                <c:pt idx="10">
                  <c:v>9900</c:v>
                </c:pt>
                <c:pt idx="11">
                  <c:v>10800</c:v>
                </c:pt>
                <c:pt idx="12">
                  <c:v>11700</c:v>
                </c:pt>
                <c:pt idx="13">
                  <c:v>12600</c:v>
                </c:pt>
                <c:pt idx="14">
                  <c:v>13500</c:v>
                </c:pt>
                <c:pt idx="15">
                  <c:v>14400</c:v>
                </c:pt>
                <c:pt idx="16">
                  <c:v>15300</c:v>
                </c:pt>
                <c:pt idx="17">
                  <c:v>16200</c:v>
                </c:pt>
                <c:pt idx="18">
                  <c:v>17100</c:v>
                </c:pt>
                <c:pt idx="19">
                  <c:v>18000</c:v>
                </c:pt>
                <c:pt idx="20">
                  <c:v>18900</c:v>
                </c:pt>
                <c:pt idx="21">
                  <c:v>19800</c:v>
                </c:pt>
                <c:pt idx="22">
                  <c:v>20700</c:v>
                </c:pt>
                <c:pt idx="23">
                  <c:v>21600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CF-4086-83D1-86C479094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022208"/>
        <c:axId val="16020226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Savings!$C$6:$C$29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3</c:v>
                      </c:pt>
                      <c:pt idx="1">
                        <c:v>6</c:v>
                      </c:pt>
                      <c:pt idx="2">
                        <c:v>9</c:v>
                      </c:pt>
                      <c:pt idx="3">
                        <c:v>12</c:v>
                      </c:pt>
                      <c:pt idx="4">
                        <c:v>15</c:v>
                      </c:pt>
                      <c:pt idx="5">
                        <c:v>18</c:v>
                      </c:pt>
                      <c:pt idx="6">
                        <c:v>21</c:v>
                      </c:pt>
                      <c:pt idx="7">
                        <c:v>24</c:v>
                      </c:pt>
                      <c:pt idx="8">
                        <c:v>27</c:v>
                      </c:pt>
                      <c:pt idx="9">
                        <c:v>30</c:v>
                      </c:pt>
                      <c:pt idx="10">
                        <c:v>33</c:v>
                      </c:pt>
                      <c:pt idx="11">
                        <c:v>36</c:v>
                      </c:pt>
                      <c:pt idx="12">
                        <c:v>39</c:v>
                      </c:pt>
                      <c:pt idx="13">
                        <c:v>42</c:v>
                      </c:pt>
                      <c:pt idx="14">
                        <c:v>45</c:v>
                      </c:pt>
                      <c:pt idx="15">
                        <c:v>48</c:v>
                      </c:pt>
                      <c:pt idx="16">
                        <c:v>51</c:v>
                      </c:pt>
                      <c:pt idx="17">
                        <c:v>54</c:v>
                      </c:pt>
                      <c:pt idx="18">
                        <c:v>57</c:v>
                      </c:pt>
                      <c:pt idx="19">
                        <c:v>60</c:v>
                      </c:pt>
                      <c:pt idx="20">
                        <c:v>63</c:v>
                      </c:pt>
                      <c:pt idx="21">
                        <c:v>66</c:v>
                      </c:pt>
                      <c:pt idx="22">
                        <c:v>69</c:v>
                      </c:pt>
                      <c:pt idx="23">
                        <c:v>72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Savings!$C$6:$C$29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3</c:v>
                      </c:pt>
                      <c:pt idx="1">
                        <c:v>6</c:v>
                      </c:pt>
                      <c:pt idx="2">
                        <c:v>9</c:v>
                      </c:pt>
                      <c:pt idx="3">
                        <c:v>12</c:v>
                      </c:pt>
                      <c:pt idx="4">
                        <c:v>15</c:v>
                      </c:pt>
                      <c:pt idx="5">
                        <c:v>18</c:v>
                      </c:pt>
                      <c:pt idx="6">
                        <c:v>21</c:v>
                      </c:pt>
                      <c:pt idx="7">
                        <c:v>24</c:v>
                      </c:pt>
                      <c:pt idx="8">
                        <c:v>27</c:v>
                      </c:pt>
                      <c:pt idx="9">
                        <c:v>30</c:v>
                      </c:pt>
                      <c:pt idx="10">
                        <c:v>33</c:v>
                      </c:pt>
                      <c:pt idx="11">
                        <c:v>36</c:v>
                      </c:pt>
                      <c:pt idx="12">
                        <c:v>39</c:v>
                      </c:pt>
                      <c:pt idx="13">
                        <c:v>42</c:v>
                      </c:pt>
                      <c:pt idx="14">
                        <c:v>45</c:v>
                      </c:pt>
                      <c:pt idx="15">
                        <c:v>48</c:v>
                      </c:pt>
                      <c:pt idx="16">
                        <c:v>51</c:v>
                      </c:pt>
                      <c:pt idx="17">
                        <c:v>54</c:v>
                      </c:pt>
                      <c:pt idx="18">
                        <c:v>57</c:v>
                      </c:pt>
                      <c:pt idx="19">
                        <c:v>60</c:v>
                      </c:pt>
                      <c:pt idx="20">
                        <c:v>63</c:v>
                      </c:pt>
                      <c:pt idx="21">
                        <c:v>66</c:v>
                      </c:pt>
                      <c:pt idx="22">
                        <c:v>69</c:v>
                      </c:pt>
                      <c:pt idx="23">
                        <c:v>72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1CF-4086-83D1-86C479094BB0}"/>
                  </c:ext>
                </c:extLst>
              </c15:ser>
            </c15:filteredLineSeries>
          </c:ext>
        </c:extLst>
      </c:lineChart>
      <c:catAx>
        <c:axId val="160202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>
            <c:manualLayout>
              <c:xMode val="edge"/>
              <c:yMode val="edge"/>
              <c:x val="0.52563079615048114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022688"/>
        <c:crosses val="autoZero"/>
        <c:auto val="1"/>
        <c:lblAlgn val="ctr"/>
        <c:lblOffset val="100"/>
        <c:noMultiLvlLbl val="0"/>
      </c:catAx>
      <c:valAx>
        <c:axId val="16020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Savings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02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Contributions per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My Amount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6542634036141288E-3"/>
                  <c:y val="-4.8615789796043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D3-4DE5-A93E-A6486C7A09BF}"/>
                </c:ext>
              </c:extLst>
            </c:dLbl>
            <c:dLbl>
              <c:idx val="1"/>
              <c:layout>
                <c:manualLayout>
                  <c:x val="-1.9039379487951116E-2"/>
                  <c:y val="-5.40175442178259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D3-4DE5-A93E-A6486C7A09BF}"/>
                </c:ext>
              </c:extLst>
            </c:dLbl>
            <c:dLbl>
              <c:idx val="2"/>
              <c:layout>
                <c:manualLayout>
                  <c:x val="-1.2115968765059749E-2"/>
                  <c:y val="-4.8615789796043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D3-4DE5-A93E-A6486C7A09BF}"/>
                </c:ext>
              </c:extLst>
            </c:dLbl>
            <c:dLbl>
              <c:idx val="3"/>
              <c:layout>
                <c:manualLayout>
                  <c:x val="-1.0385116084336956E-2"/>
                  <c:y val="-4.32140353742608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D3-4DE5-A93E-A6486C7A09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Retirement!$H$5:$Q$5</c:f>
              <c:numCache>
                <c:formatCode>_("$"* #,##0.00_);_("$"* \(#,##0.00\);_("$"* "-"??_);_(@_)</c:formatCode>
                <c:ptCount val="10"/>
                <c:pt idx="0">
                  <c:v>31.25</c:v>
                </c:pt>
                <c:pt idx="1">
                  <c:v>62.5</c:v>
                </c:pt>
                <c:pt idx="2">
                  <c:v>93.75</c:v>
                </c:pt>
                <c:pt idx="3">
                  <c:v>125</c:v>
                </c:pt>
                <c:pt idx="4">
                  <c:v>156.25</c:v>
                </c:pt>
                <c:pt idx="5">
                  <c:v>187.5</c:v>
                </c:pt>
                <c:pt idx="6">
                  <c:v>218.75000000000003</c:v>
                </c:pt>
                <c:pt idx="7">
                  <c:v>250</c:v>
                </c:pt>
                <c:pt idx="8">
                  <c:v>281.25</c:v>
                </c:pt>
                <c:pt idx="9">
                  <c:v>312.5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3-4DE5-A93E-A6486C7A09BF}"/>
            </c:ext>
          </c:extLst>
        </c:ser>
        <c:ser>
          <c:idx val="2"/>
          <c:order val="2"/>
          <c:tx>
            <c:v>Company Amount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7308526807228259E-3"/>
                  <c:y val="-0.1026333340138694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9D3-4DE5-A93E-A6486C7A09BF}"/>
                </c:ext>
              </c:extLst>
            </c:dLbl>
            <c:dLbl>
              <c:idx val="1"/>
              <c:layout>
                <c:manualLayout>
                  <c:x val="-3.4617053614456519E-3"/>
                  <c:y val="-9.72315795920868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D3-4DE5-A93E-A6486C7A09BF}"/>
                </c:ext>
              </c:extLst>
            </c:dLbl>
            <c:dLbl>
              <c:idx val="5"/>
              <c:layout>
                <c:manualLayout>
                  <c:x val="1.3846821445782607E-2"/>
                  <c:y val="-1.62052632653478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D3-4DE5-A93E-A6486C7A09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Retirement!$H$6:$Q$6</c:f>
              <c:numCache>
                <c:formatCode>_("$"* #,##0.00_);_("$"* \(#,##0.00\);_("$"* "-"??_);_(@_)</c:formatCode>
                <c:ptCount val="10"/>
                <c:pt idx="0">
                  <c:v>31.25</c:v>
                </c:pt>
                <c:pt idx="1">
                  <c:v>62.5</c:v>
                </c:pt>
                <c:pt idx="2">
                  <c:v>93.75</c:v>
                </c:pt>
                <c:pt idx="3">
                  <c:v>109.375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D3-4DE5-A93E-A6486C7A09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812129568"/>
        <c:axId val="81211996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Retirement!$H$3:$Q$3</c15:sqref>
                        </c15:formulaRef>
                      </c:ext>
                    </c:extLst>
                    <c:numCache>
                      <c:formatCode>0%</c:formatCode>
                      <c:ptCount val="10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9D3-4DE5-A93E-A6486C7A09BF}"/>
                  </c:ext>
                </c:extLst>
              </c15:ser>
            </c15:filteredBarSeries>
          </c:ext>
        </c:extLst>
      </c:barChart>
      <c:catAx>
        <c:axId val="812129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119968"/>
        <c:crosses val="autoZero"/>
        <c:auto val="1"/>
        <c:lblAlgn val="ctr"/>
        <c:lblOffset val="100"/>
        <c:noMultiLvlLbl val="0"/>
      </c:catAx>
      <c:valAx>
        <c:axId val="81211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12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Loan Repayment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Less 200</c:v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'College Loan'!$C$11:$C$215</c:f>
              <c:numCache>
                <c:formatCode>"$"#,##0.00</c:formatCode>
                <c:ptCount val="205"/>
                <c:pt idx="0">
                  <c:v>61000</c:v>
                </c:pt>
                <c:pt idx="1">
                  <c:v>60700</c:v>
                </c:pt>
                <c:pt idx="2">
                  <c:v>60400</c:v>
                </c:pt>
                <c:pt idx="3">
                  <c:v>60100</c:v>
                </c:pt>
                <c:pt idx="4">
                  <c:v>59800</c:v>
                </c:pt>
                <c:pt idx="5">
                  <c:v>59500</c:v>
                </c:pt>
                <c:pt idx="6">
                  <c:v>59200</c:v>
                </c:pt>
                <c:pt idx="7">
                  <c:v>58900</c:v>
                </c:pt>
                <c:pt idx="8">
                  <c:v>58600</c:v>
                </c:pt>
                <c:pt idx="9">
                  <c:v>58300</c:v>
                </c:pt>
                <c:pt idx="10">
                  <c:v>58000</c:v>
                </c:pt>
                <c:pt idx="11">
                  <c:v>57700</c:v>
                </c:pt>
                <c:pt idx="12">
                  <c:v>57400</c:v>
                </c:pt>
                <c:pt idx="13">
                  <c:v>57100</c:v>
                </c:pt>
                <c:pt idx="14">
                  <c:v>56800</c:v>
                </c:pt>
                <c:pt idx="15">
                  <c:v>56500</c:v>
                </c:pt>
                <c:pt idx="16">
                  <c:v>56200</c:v>
                </c:pt>
                <c:pt idx="17">
                  <c:v>55900</c:v>
                </c:pt>
                <c:pt idx="18">
                  <c:v>55600</c:v>
                </c:pt>
                <c:pt idx="19">
                  <c:v>55300</c:v>
                </c:pt>
                <c:pt idx="20">
                  <c:v>55000</c:v>
                </c:pt>
                <c:pt idx="21">
                  <c:v>54700</c:v>
                </c:pt>
                <c:pt idx="22">
                  <c:v>54400</c:v>
                </c:pt>
                <c:pt idx="23">
                  <c:v>54100</c:v>
                </c:pt>
                <c:pt idx="24">
                  <c:v>53800</c:v>
                </c:pt>
                <c:pt idx="25">
                  <c:v>53500</c:v>
                </c:pt>
                <c:pt idx="26">
                  <c:v>53200</c:v>
                </c:pt>
                <c:pt idx="27">
                  <c:v>52900</c:v>
                </c:pt>
                <c:pt idx="28">
                  <c:v>52600</c:v>
                </c:pt>
                <c:pt idx="29">
                  <c:v>52300</c:v>
                </c:pt>
                <c:pt idx="30">
                  <c:v>52000</c:v>
                </c:pt>
                <c:pt idx="31">
                  <c:v>51700</c:v>
                </c:pt>
                <c:pt idx="32">
                  <c:v>51400</c:v>
                </c:pt>
                <c:pt idx="33">
                  <c:v>51100</c:v>
                </c:pt>
                <c:pt idx="34">
                  <c:v>50800</c:v>
                </c:pt>
                <c:pt idx="35">
                  <c:v>50500</c:v>
                </c:pt>
                <c:pt idx="36">
                  <c:v>50200</c:v>
                </c:pt>
                <c:pt idx="37">
                  <c:v>49900</c:v>
                </c:pt>
                <c:pt idx="38">
                  <c:v>49600</c:v>
                </c:pt>
                <c:pt idx="39">
                  <c:v>49300</c:v>
                </c:pt>
                <c:pt idx="40">
                  <c:v>49000</c:v>
                </c:pt>
                <c:pt idx="41">
                  <c:v>48700</c:v>
                </c:pt>
                <c:pt idx="42">
                  <c:v>48400</c:v>
                </c:pt>
                <c:pt idx="43">
                  <c:v>48100</c:v>
                </c:pt>
                <c:pt idx="44">
                  <c:v>47800</c:v>
                </c:pt>
                <c:pt idx="45">
                  <c:v>47500</c:v>
                </c:pt>
                <c:pt idx="46">
                  <c:v>47200</c:v>
                </c:pt>
                <c:pt idx="47">
                  <c:v>46900</c:v>
                </c:pt>
                <c:pt idx="48">
                  <c:v>46600</c:v>
                </c:pt>
                <c:pt idx="49">
                  <c:v>46300</c:v>
                </c:pt>
                <c:pt idx="50">
                  <c:v>46000</c:v>
                </c:pt>
                <c:pt idx="51">
                  <c:v>45700</c:v>
                </c:pt>
                <c:pt idx="52">
                  <c:v>45400</c:v>
                </c:pt>
                <c:pt idx="53">
                  <c:v>45100</c:v>
                </c:pt>
                <c:pt idx="54">
                  <c:v>44800</c:v>
                </c:pt>
                <c:pt idx="55">
                  <c:v>44500</c:v>
                </c:pt>
                <c:pt idx="56">
                  <c:v>44200</c:v>
                </c:pt>
                <c:pt idx="57">
                  <c:v>43900</c:v>
                </c:pt>
                <c:pt idx="58">
                  <c:v>43600</c:v>
                </c:pt>
                <c:pt idx="59">
                  <c:v>43300</c:v>
                </c:pt>
                <c:pt idx="60">
                  <c:v>43000</c:v>
                </c:pt>
                <c:pt idx="61">
                  <c:v>42700</c:v>
                </c:pt>
                <c:pt idx="62">
                  <c:v>42400</c:v>
                </c:pt>
                <c:pt idx="63">
                  <c:v>42100</c:v>
                </c:pt>
                <c:pt idx="64">
                  <c:v>41800</c:v>
                </c:pt>
                <c:pt idx="65">
                  <c:v>41500</c:v>
                </c:pt>
                <c:pt idx="66">
                  <c:v>41200</c:v>
                </c:pt>
                <c:pt idx="67">
                  <c:v>40900</c:v>
                </c:pt>
                <c:pt idx="68">
                  <c:v>40600</c:v>
                </c:pt>
                <c:pt idx="69">
                  <c:v>40300</c:v>
                </c:pt>
                <c:pt idx="70">
                  <c:v>40000</c:v>
                </c:pt>
                <c:pt idx="71">
                  <c:v>39700</c:v>
                </c:pt>
                <c:pt idx="72">
                  <c:v>39400</c:v>
                </c:pt>
                <c:pt idx="73">
                  <c:v>39100</c:v>
                </c:pt>
                <c:pt idx="74">
                  <c:v>38800</c:v>
                </c:pt>
                <c:pt idx="75">
                  <c:v>38500</c:v>
                </c:pt>
                <c:pt idx="76">
                  <c:v>38200</c:v>
                </c:pt>
                <c:pt idx="77">
                  <c:v>37900</c:v>
                </c:pt>
                <c:pt idx="78">
                  <c:v>37600</c:v>
                </c:pt>
                <c:pt idx="79">
                  <c:v>37300</c:v>
                </c:pt>
                <c:pt idx="80">
                  <c:v>37000</c:v>
                </c:pt>
                <c:pt idx="81">
                  <c:v>36700</c:v>
                </c:pt>
                <c:pt idx="82">
                  <c:v>36400</c:v>
                </c:pt>
                <c:pt idx="83">
                  <c:v>36100</c:v>
                </c:pt>
                <c:pt idx="84">
                  <c:v>35800</c:v>
                </c:pt>
                <c:pt idx="85">
                  <c:v>35500</c:v>
                </c:pt>
                <c:pt idx="86">
                  <c:v>35200</c:v>
                </c:pt>
                <c:pt idx="87">
                  <c:v>34900</c:v>
                </c:pt>
                <c:pt idx="88">
                  <c:v>34600</c:v>
                </c:pt>
                <c:pt idx="89">
                  <c:v>34300</c:v>
                </c:pt>
                <c:pt idx="90">
                  <c:v>34000</c:v>
                </c:pt>
                <c:pt idx="91">
                  <c:v>33700</c:v>
                </c:pt>
                <c:pt idx="92">
                  <c:v>33400</c:v>
                </c:pt>
                <c:pt idx="93">
                  <c:v>33100</c:v>
                </c:pt>
                <c:pt idx="94">
                  <c:v>32800</c:v>
                </c:pt>
                <c:pt idx="95">
                  <c:v>32500</c:v>
                </c:pt>
                <c:pt idx="96">
                  <c:v>32200</c:v>
                </c:pt>
                <c:pt idx="97">
                  <c:v>31900</c:v>
                </c:pt>
                <c:pt idx="98">
                  <c:v>31600</c:v>
                </c:pt>
                <c:pt idx="99">
                  <c:v>31300</c:v>
                </c:pt>
                <c:pt idx="100">
                  <c:v>31000</c:v>
                </c:pt>
                <c:pt idx="101">
                  <c:v>30700</c:v>
                </c:pt>
                <c:pt idx="102">
                  <c:v>30400</c:v>
                </c:pt>
                <c:pt idx="103">
                  <c:v>30100</c:v>
                </c:pt>
                <c:pt idx="104">
                  <c:v>29800</c:v>
                </c:pt>
                <c:pt idx="105">
                  <c:v>29500</c:v>
                </c:pt>
                <c:pt idx="106">
                  <c:v>29200</c:v>
                </c:pt>
                <c:pt idx="107">
                  <c:v>28900</c:v>
                </c:pt>
                <c:pt idx="108">
                  <c:v>28600</c:v>
                </c:pt>
                <c:pt idx="109">
                  <c:v>28300</c:v>
                </c:pt>
                <c:pt idx="110">
                  <c:v>28000</c:v>
                </c:pt>
                <c:pt idx="111">
                  <c:v>27700</c:v>
                </c:pt>
                <c:pt idx="112">
                  <c:v>27400</c:v>
                </c:pt>
                <c:pt idx="113">
                  <c:v>27100</c:v>
                </c:pt>
                <c:pt idx="114">
                  <c:v>26800</c:v>
                </c:pt>
                <c:pt idx="115">
                  <c:v>26500</c:v>
                </c:pt>
                <c:pt idx="116">
                  <c:v>26200</c:v>
                </c:pt>
                <c:pt idx="117">
                  <c:v>25900</c:v>
                </c:pt>
                <c:pt idx="118">
                  <c:v>25600</c:v>
                </c:pt>
                <c:pt idx="119">
                  <c:v>25300</c:v>
                </c:pt>
                <c:pt idx="120">
                  <c:v>25000</c:v>
                </c:pt>
                <c:pt idx="121">
                  <c:v>24700</c:v>
                </c:pt>
                <c:pt idx="122">
                  <c:v>24400</c:v>
                </c:pt>
                <c:pt idx="123">
                  <c:v>24100</c:v>
                </c:pt>
                <c:pt idx="124">
                  <c:v>23800</c:v>
                </c:pt>
                <c:pt idx="125">
                  <c:v>23500</c:v>
                </c:pt>
                <c:pt idx="126">
                  <c:v>23200</c:v>
                </c:pt>
                <c:pt idx="127">
                  <c:v>22900</c:v>
                </c:pt>
                <c:pt idx="128">
                  <c:v>22600</c:v>
                </c:pt>
                <c:pt idx="129">
                  <c:v>22300</c:v>
                </c:pt>
                <c:pt idx="130">
                  <c:v>22000</c:v>
                </c:pt>
                <c:pt idx="131">
                  <c:v>21700</c:v>
                </c:pt>
                <c:pt idx="132">
                  <c:v>21400</c:v>
                </c:pt>
                <c:pt idx="133">
                  <c:v>21100</c:v>
                </c:pt>
                <c:pt idx="134">
                  <c:v>20800</c:v>
                </c:pt>
                <c:pt idx="135">
                  <c:v>20500</c:v>
                </c:pt>
                <c:pt idx="136">
                  <c:v>20200</c:v>
                </c:pt>
                <c:pt idx="137">
                  <c:v>19900</c:v>
                </c:pt>
                <c:pt idx="138">
                  <c:v>19600</c:v>
                </c:pt>
                <c:pt idx="139">
                  <c:v>19300</c:v>
                </c:pt>
                <c:pt idx="140">
                  <c:v>19000</c:v>
                </c:pt>
                <c:pt idx="141">
                  <c:v>18700</c:v>
                </c:pt>
                <c:pt idx="142">
                  <c:v>18400</c:v>
                </c:pt>
                <c:pt idx="143">
                  <c:v>18100</c:v>
                </c:pt>
                <c:pt idx="144">
                  <c:v>17800</c:v>
                </c:pt>
                <c:pt idx="145">
                  <c:v>17500</c:v>
                </c:pt>
                <c:pt idx="146">
                  <c:v>17200</c:v>
                </c:pt>
                <c:pt idx="147">
                  <c:v>16900</c:v>
                </c:pt>
                <c:pt idx="148">
                  <c:v>16600</c:v>
                </c:pt>
                <c:pt idx="149">
                  <c:v>16300</c:v>
                </c:pt>
                <c:pt idx="150">
                  <c:v>16000</c:v>
                </c:pt>
                <c:pt idx="151">
                  <c:v>15700</c:v>
                </c:pt>
                <c:pt idx="152">
                  <c:v>15400</c:v>
                </c:pt>
                <c:pt idx="153">
                  <c:v>15100</c:v>
                </c:pt>
                <c:pt idx="154">
                  <c:v>14800</c:v>
                </c:pt>
                <c:pt idx="155">
                  <c:v>14500</c:v>
                </c:pt>
                <c:pt idx="156">
                  <c:v>14200</c:v>
                </c:pt>
                <c:pt idx="157">
                  <c:v>13900</c:v>
                </c:pt>
                <c:pt idx="158">
                  <c:v>13600</c:v>
                </c:pt>
                <c:pt idx="159">
                  <c:v>13300</c:v>
                </c:pt>
                <c:pt idx="160">
                  <c:v>13000</c:v>
                </c:pt>
                <c:pt idx="161">
                  <c:v>12700</c:v>
                </c:pt>
                <c:pt idx="162">
                  <c:v>12400</c:v>
                </c:pt>
                <c:pt idx="163">
                  <c:v>12100</c:v>
                </c:pt>
                <c:pt idx="164">
                  <c:v>11800</c:v>
                </c:pt>
                <c:pt idx="165">
                  <c:v>11500</c:v>
                </c:pt>
                <c:pt idx="166">
                  <c:v>11200</c:v>
                </c:pt>
                <c:pt idx="167">
                  <c:v>10900</c:v>
                </c:pt>
                <c:pt idx="168">
                  <c:v>10600</c:v>
                </c:pt>
                <c:pt idx="169">
                  <c:v>10300</c:v>
                </c:pt>
                <c:pt idx="170">
                  <c:v>10000</c:v>
                </c:pt>
                <c:pt idx="171">
                  <c:v>9700</c:v>
                </c:pt>
                <c:pt idx="172">
                  <c:v>9400</c:v>
                </c:pt>
                <c:pt idx="173">
                  <c:v>9100</c:v>
                </c:pt>
                <c:pt idx="174">
                  <c:v>8800</c:v>
                </c:pt>
                <c:pt idx="175">
                  <c:v>8500</c:v>
                </c:pt>
                <c:pt idx="176">
                  <c:v>8200</c:v>
                </c:pt>
                <c:pt idx="177">
                  <c:v>7900</c:v>
                </c:pt>
                <c:pt idx="178">
                  <c:v>7600</c:v>
                </c:pt>
                <c:pt idx="179">
                  <c:v>7300</c:v>
                </c:pt>
                <c:pt idx="180">
                  <c:v>7000</c:v>
                </c:pt>
                <c:pt idx="181">
                  <c:v>6700</c:v>
                </c:pt>
                <c:pt idx="182">
                  <c:v>6400</c:v>
                </c:pt>
                <c:pt idx="183">
                  <c:v>6100</c:v>
                </c:pt>
                <c:pt idx="184">
                  <c:v>5800</c:v>
                </c:pt>
                <c:pt idx="185">
                  <c:v>5500</c:v>
                </c:pt>
                <c:pt idx="186">
                  <c:v>5200</c:v>
                </c:pt>
                <c:pt idx="187">
                  <c:v>4900</c:v>
                </c:pt>
                <c:pt idx="188">
                  <c:v>4600</c:v>
                </c:pt>
                <c:pt idx="189">
                  <c:v>4300</c:v>
                </c:pt>
                <c:pt idx="190">
                  <c:v>4000</c:v>
                </c:pt>
                <c:pt idx="191">
                  <c:v>3700</c:v>
                </c:pt>
                <c:pt idx="192">
                  <c:v>3400</c:v>
                </c:pt>
                <c:pt idx="193">
                  <c:v>3100</c:v>
                </c:pt>
                <c:pt idx="194">
                  <c:v>2800</c:v>
                </c:pt>
                <c:pt idx="195">
                  <c:v>2500</c:v>
                </c:pt>
                <c:pt idx="196">
                  <c:v>2200</c:v>
                </c:pt>
                <c:pt idx="197">
                  <c:v>1900</c:v>
                </c:pt>
                <c:pt idx="198">
                  <c:v>1600</c:v>
                </c:pt>
                <c:pt idx="199">
                  <c:v>1300</c:v>
                </c:pt>
                <c:pt idx="200">
                  <c:v>1000</c:v>
                </c:pt>
                <c:pt idx="201">
                  <c:v>700</c:v>
                </c:pt>
                <c:pt idx="202">
                  <c:v>400</c:v>
                </c:pt>
                <c:pt idx="203">
                  <c:v>100</c:v>
                </c:pt>
                <c:pt idx="204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2-4A4F-844C-E30D56C32D3E}"/>
            </c:ext>
          </c:extLst>
        </c:ser>
        <c:ser>
          <c:idx val="1"/>
          <c:order val="1"/>
          <c:tx>
            <c:v>Less 100</c:v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'College Loan'!$D$11:$D$215</c:f>
              <c:numCache>
                <c:formatCode>"$"#,##0.00</c:formatCode>
                <c:ptCount val="205"/>
                <c:pt idx="0">
                  <c:v>61000</c:v>
                </c:pt>
                <c:pt idx="1">
                  <c:v>60600</c:v>
                </c:pt>
                <c:pt idx="2">
                  <c:v>60200</c:v>
                </c:pt>
                <c:pt idx="3">
                  <c:v>59800</c:v>
                </c:pt>
                <c:pt idx="4">
                  <c:v>59400</c:v>
                </c:pt>
                <c:pt idx="5">
                  <c:v>59000</c:v>
                </c:pt>
                <c:pt idx="6">
                  <c:v>58600</c:v>
                </c:pt>
                <c:pt idx="7">
                  <c:v>58200</c:v>
                </c:pt>
                <c:pt idx="8">
                  <c:v>57800</c:v>
                </c:pt>
                <c:pt idx="9">
                  <c:v>57400</c:v>
                </c:pt>
                <c:pt idx="10">
                  <c:v>57000</c:v>
                </c:pt>
                <c:pt idx="11">
                  <c:v>56600</c:v>
                </c:pt>
                <c:pt idx="12">
                  <c:v>56200</c:v>
                </c:pt>
                <c:pt idx="13">
                  <c:v>55800</c:v>
                </c:pt>
                <c:pt idx="14">
                  <c:v>55400</c:v>
                </c:pt>
                <c:pt idx="15">
                  <c:v>55000</c:v>
                </c:pt>
                <c:pt idx="16">
                  <c:v>54600</c:v>
                </c:pt>
                <c:pt idx="17">
                  <c:v>54200</c:v>
                </c:pt>
                <c:pt idx="18">
                  <c:v>53800</c:v>
                </c:pt>
                <c:pt idx="19">
                  <c:v>53400</c:v>
                </c:pt>
                <c:pt idx="20">
                  <c:v>53000</c:v>
                </c:pt>
                <c:pt idx="21">
                  <c:v>52600</c:v>
                </c:pt>
                <c:pt idx="22">
                  <c:v>52200</c:v>
                </c:pt>
                <c:pt idx="23">
                  <c:v>51800</c:v>
                </c:pt>
                <c:pt idx="24">
                  <c:v>51400</c:v>
                </c:pt>
                <c:pt idx="25">
                  <c:v>51000</c:v>
                </c:pt>
                <c:pt idx="26">
                  <c:v>50600</c:v>
                </c:pt>
                <c:pt idx="27">
                  <c:v>50200</c:v>
                </c:pt>
                <c:pt idx="28">
                  <c:v>49800</c:v>
                </c:pt>
                <c:pt idx="29">
                  <c:v>49400</c:v>
                </c:pt>
                <c:pt idx="30">
                  <c:v>49000</c:v>
                </c:pt>
                <c:pt idx="31">
                  <c:v>48600</c:v>
                </c:pt>
                <c:pt idx="32">
                  <c:v>48200</c:v>
                </c:pt>
                <c:pt idx="33">
                  <c:v>47800</c:v>
                </c:pt>
                <c:pt idx="34">
                  <c:v>47400</c:v>
                </c:pt>
                <c:pt idx="35">
                  <c:v>47000</c:v>
                </c:pt>
                <c:pt idx="36">
                  <c:v>46600</c:v>
                </c:pt>
                <c:pt idx="37">
                  <c:v>46200</c:v>
                </c:pt>
                <c:pt idx="38">
                  <c:v>45800</c:v>
                </c:pt>
                <c:pt idx="39">
                  <c:v>45400</c:v>
                </c:pt>
                <c:pt idx="40">
                  <c:v>45000</c:v>
                </c:pt>
                <c:pt idx="41">
                  <c:v>44600</c:v>
                </c:pt>
                <c:pt idx="42">
                  <c:v>44200</c:v>
                </c:pt>
                <c:pt idx="43">
                  <c:v>43800</c:v>
                </c:pt>
                <c:pt idx="44">
                  <c:v>43400</c:v>
                </c:pt>
                <c:pt idx="45">
                  <c:v>43000</c:v>
                </c:pt>
                <c:pt idx="46">
                  <c:v>42600</c:v>
                </c:pt>
                <c:pt idx="47">
                  <c:v>42200</c:v>
                </c:pt>
                <c:pt idx="48">
                  <c:v>41800</c:v>
                </c:pt>
                <c:pt idx="49">
                  <c:v>41400</c:v>
                </c:pt>
                <c:pt idx="50">
                  <c:v>41000</c:v>
                </c:pt>
                <c:pt idx="51">
                  <c:v>40600</c:v>
                </c:pt>
                <c:pt idx="52">
                  <c:v>40200</c:v>
                </c:pt>
                <c:pt idx="53">
                  <c:v>39800</c:v>
                </c:pt>
                <c:pt idx="54">
                  <c:v>39400</c:v>
                </c:pt>
                <c:pt idx="55">
                  <c:v>39000</c:v>
                </c:pt>
                <c:pt idx="56">
                  <c:v>38600</c:v>
                </c:pt>
                <c:pt idx="57">
                  <c:v>38200</c:v>
                </c:pt>
                <c:pt idx="58">
                  <c:v>37800</c:v>
                </c:pt>
                <c:pt idx="59">
                  <c:v>37400</c:v>
                </c:pt>
                <c:pt idx="60">
                  <c:v>37000</c:v>
                </c:pt>
                <c:pt idx="61">
                  <c:v>36600</c:v>
                </c:pt>
                <c:pt idx="62">
                  <c:v>36200</c:v>
                </c:pt>
                <c:pt idx="63">
                  <c:v>35800</c:v>
                </c:pt>
                <c:pt idx="64">
                  <c:v>35400</c:v>
                </c:pt>
                <c:pt idx="65">
                  <c:v>35000</c:v>
                </c:pt>
                <c:pt idx="66">
                  <c:v>34600</c:v>
                </c:pt>
                <c:pt idx="67">
                  <c:v>34200</c:v>
                </c:pt>
                <c:pt idx="68">
                  <c:v>33800</c:v>
                </c:pt>
                <c:pt idx="69">
                  <c:v>33400</c:v>
                </c:pt>
                <c:pt idx="70">
                  <c:v>33000</c:v>
                </c:pt>
                <c:pt idx="71">
                  <c:v>32600</c:v>
                </c:pt>
                <c:pt idx="72">
                  <c:v>32200</c:v>
                </c:pt>
                <c:pt idx="73">
                  <c:v>31800</c:v>
                </c:pt>
                <c:pt idx="74">
                  <c:v>31400</c:v>
                </c:pt>
                <c:pt idx="75">
                  <c:v>31000</c:v>
                </c:pt>
                <c:pt idx="76">
                  <c:v>30600</c:v>
                </c:pt>
                <c:pt idx="77">
                  <c:v>30200</c:v>
                </c:pt>
                <c:pt idx="78">
                  <c:v>29800</c:v>
                </c:pt>
                <c:pt idx="79">
                  <c:v>29400</c:v>
                </c:pt>
                <c:pt idx="80">
                  <c:v>29000</c:v>
                </c:pt>
                <c:pt idx="81">
                  <c:v>28600</c:v>
                </c:pt>
                <c:pt idx="82">
                  <c:v>28200</c:v>
                </c:pt>
                <c:pt idx="83">
                  <c:v>27800</c:v>
                </c:pt>
                <c:pt idx="84">
                  <c:v>27400</c:v>
                </c:pt>
                <c:pt idx="85">
                  <c:v>27000</c:v>
                </c:pt>
                <c:pt idx="86">
                  <c:v>26600</c:v>
                </c:pt>
                <c:pt idx="87">
                  <c:v>26200</c:v>
                </c:pt>
                <c:pt idx="88">
                  <c:v>25800</c:v>
                </c:pt>
                <c:pt idx="89">
                  <c:v>25400</c:v>
                </c:pt>
                <c:pt idx="90">
                  <c:v>25000</c:v>
                </c:pt>
                <c:pt idx="91">
                  <c:v>24600</c:v>
                </c:pt>
                <c:pt idx="92">
                  <c:v>24200</c:v>
                </c:pt>
                <c:pt idx="93">
                  <c:v>23800</c:v>
                </c:pt>
                <c:pt idx="94">
                  <c:v>23400</c:v>
                </c:pt>
                <c:pt idx="95">
                  <c:v>23000</c:v>
                </c:pt>
                <c:pt idx="96">
                  <c:v>22600</c:v>
                </c:pt>
                <c:pt idx="97">
                  <c:v>22200</c:v>
                </c:pt>
                <c:pt idx="98">
                  <c:v>21800</c:v>
                </c:pt>
                <c:pt idx="99">
                  <c:v>21400</c:v>
                </c:pt>
                <c:pt idx="100">
                  <c:v>21000</c:v>
                </c:pt>
                <c:pt idx="101">
                  <c:v>20600</c:v>
                </c:pt>
                <c:pt idx="102">
                  <c:v>20200</c:v>
                </c:pt>
                <c:pt idx="103">
                  <c:v>19800</c:v>
                </c:pt>
                <c:pt idx="104">
                  <c:v>19400</c:v>
                </c:pt>
                <c:pt idx="105">
                  <c:v>19000</c:v>
                </c:pt>
                <c:pt idx="106">
                  <c:v>18600</c:v>
                </c:pt>
                <c:pt idx="107">
                  <c:v>18200</c:v>
                </c:pt>
                <c:pt idx="108">
                  <c:v>17800</c:v>
                </c:pt>
                <c:pt idx="109">
                  <c:v>17400</c:v>
                </c:pt>
                <c:pt idx="110">
                  <c:v>17000</c:v>
                </c:pt>
                <c:pt idx="111">
                  <c:v>16600</c:v>
                </c:pt>
                <c:pt idx="112">
                  <c:v>16200</c:v>
                </c:pt>
                <c:pt idx="113">
                  <c:v>15800</c:v>
                </c:pt>
                <c:pt idx="114">
                  <c:v>15400</c:v>
                </c:pt>
                <c:pt idx="115">
                  <c:v>15000</c:v>
                </c:pt>
                <c:pt idx="116">
                  <c:v>14600</c:v>
                </c:pt>
                <c:pt idx="117">
                  <c:v>14200</c:v>
                </c:pt>
                <c:pt idx="118">
                  <c:v>13800</c:v>
                </c:pt>
                <c:pt idx="119">
                  <c:v>13400</c:v>
                </c:pt>
                <c:pt idx="120">
                  <c:v>13000</c:v>
                </c:pt>
                <c:pt idx="121">
                  <c:v>12600</c:v>
                </c:pt>
                <c:pt idx="122">
                  <c:v>12200</c:v>
                </c:pt>
                <c:pt idx="123">
                  <c:v>11800</c:v>
                </c:pt>
                <c:pt idx="124">
                  <c:v>11400</c:v>
                </c:pt>
                <c:pt idx="125">
                  <c:v>11000</c:v>
                </c:pt>
                <c:pt idx="126">
                  <c:v>10600</c:v>
                </c:pt>
                <c:pt idx="127">
                  <c:v>10200</c:v>
                </c:pt>
                <c:pt idx="128">
                  <c:v>9800</c:v>
                </c:pt>
                <c:pt idx="129">
                  <c:v>9400</c:v>
                </c:pt>
                <c:pt idx="130">
                  <c:v>9000</c:v>
                </c:pt>
                <c:pt idx="131">
                  <c:v>8600</c:v>
                </c:pt>
                <c:pt idx="132">
                  <c:v>8200</c:v>
                </c:pt>
                <c:pt idx="133">
                  <c:v>7800</c:v>
                </c:pt>
                <c:pt idx="134">
                  <c:v>7400</c:v>
                </c:pt>
                <c:pt idx="135">
                  <c:v>7000</c:v>
                </c:pt>
                <c:pt idx="136">
                  <c:v>6600</c:v>
                </c:pt>
                <c:pt idx="137">
                  <c:v>6200</c:v>
                </c:pt>
                <c:pt idx="138">
                  <c:v>5800</c:v>
                </c:pt>
                <c:pt idx="139">
                  <c:v>5400</c:v>
                </c:pt>
                <c:pt idx="140">
                  <c:v>5000</c:v>
                </c:pt>
                <c:pt idx="141">
                  <c:v>4600</c:v>
                </c:pt>
                <c:pt idx="142">
                  <c:v>4200</c:v>
                </c:pt>
                <c:pt idx="143">
                  <c:v>3800</c:v>
                </c:pt>
                <c:pt idx="144">
                  <c:v>3400</c:v>
                </c:pt>
                <c:pt idx="145">
                  <c:v>3000</c:v>
                </c:pt>
                <c:pt idx="146">
                  <c:v>2600</c:v>
                </c:pt>
                <c:pt idx="147">
                  <c:v>2200</c:v>
                </c:pt>
                <c:pt idx="148">
                  <c:v>1800</c:v>
                </c:pt>
                <c:pt idx="149">
                  <c:v>1400</c:v>
                </c:pt>
                <c:pt idx="150">
                  <c:v>1000</c:v>
                </c:pt>
                <c:pt idx="151">
                  <c:v>600</c:v>
                </c:pt>
                <c:pt idx="152">
                  <c:v>200</c:v>
                </c:pt>
                <c:pt idx="153">
                  <c:v>-200</c:v>
                </c:pt>
                <c:pt idx="154">
                  <c:v>-600</c:v>
                </c:pt>
                <c:pt idx="155">
                  <c:v>-1000</c:v>
                </c:pt>
                <c:pt idx="156">
                  <c:v>-1400</c:v>
                </c:pt>
                <c:pt idx="157">
                  <c:v>-1800</c:v>
                </c:pt>
                <c:pt idx="158">
                  <c:v>-2200</c:v>
                </c:pt>
                <c:pt idx="159">
                  <c:v>-2600</c:v>
                </c:pt>
                <c:pt idx="160">
                  <c:v>-3000</c:v>
                </c:pt>
                <c:pt idx="161">
                  <c:v>-3400</c:v>
                </c:pt>
                <c:pt idx="162">
                  <c:v>-3800</c:v>
                </c:pt>
                <c:pt idx="163">
                  <c:v>-4200</c:v>
                </c:pt>
                <c:pt idx="164">
                  <c:v>-4600</c:v>
                </c:pt>
                <c:pt idx="165">
                  <c:v>-5000</c:v>
                </c:pt>
                <c:pt idx="166">
                  <c:v>-5400</c:v>
                </c:pt>
                <c:pt idx="167">
                  <c:v>-5800</c:v>
                </c:pt>
                <c:pt idx="168">
                  <c:v>-6200</c:v>
                </c:pt>
                <c:pt idx="169">
                  <c:v>-6600</c:v>
                </c:pt>
                <c:pt idx="170">
                  <c:v>-7000</c:v>
                </c:pt>
                <c:pt idx="171">
                  <c:v>-7400</c:v>
                </c:pt>
                <c:pt idx="172">
                  <c:v>-7800</c:v>
                </c:pt>
                <c:pt idx="173">
                  <c:v>-8200</c:v>
                </c:pt>
                <c:pt idx="174">
                  <c:v>-8600</c:v>
                </c:pt>
                <c:pt idx="175">
                  <c:v>-9000</c:v>
                </c:pt>
                <c:pt idx="176">
                  <c:v>-9400</c:v>
                </c:pt>
                <c:pt idx="177">
                  <c:v>-9800</c:v>
                </c:pt>
                <c:pt idx="178">
                  <c:v>-10200</c:v>
                </c:pt>
                <c:pt idx="179">
                  <c:v>-10600</c:v>
                </c:pt>
                <c:pt idx="180">
                  <c:v>-11000</c:v>
                </c:pt>
                <c:pt idx="181">
                  <c:v>-11400</c:v>
                </c:pt>
                <c:pt idx="182">
                  <c:v>-11800</c:v>
                </c:pt>
                <c:pt idx="183">
                  <c:v>-12200</c:v>
                </c:pt>
                <c:pt idx="184">
                  <c:v>-12600</c:v>
                </c:pt>
                <c:pt idx="185">
                  <c:v>-13000</c:v>
                </c:pt>
                <c:pt idx="186">
                  <c:v>-13400</c:v>
                </c:pt>
                <c:pt idx="187">
                  <c:v>-13800</c:v>
                </c:pt>
                <c:pt idx="188">
                  <c:v>-14200</c:v>
                </c:pt>
                <c:pt idx="189">
                  <c:v>-14600</c:v>
                </c:pt>
                <c:pt idx="190">
                  <c:v>-15000</c:v>
                </c:pt>
                <c:pt idx="191">
                  <c:v>-15400</c:v>
                </c:pt>
                <c:pt idx="192">
                  <c:v>-15800</c:v>
                </c:pt>
                <c:pt idx="193">
                  <c:v>-16200</c:v>
                </c:pt>
                <c:pt idx="194">
                  <c:v>-16600</c:v>
                </c:pt>
                <c:pt idx="195">
                  <c:v>-17000</c:v>
                </c:pt>
                <c:pt idx="196">
                  <c:v>-17400</c:v>
                </c:pt>
                <c:pt idx="197">
                  <c:v>-17800</c:v>
                </c:pt>
                <c:pt idx="198">
                  <c:v>-18200</c:v>
                </c:pt>
                <c:pt idx="199">
                  <c:v>-18600</c:v>
                </c:pt>
                <c:pt idx="200">
                  <c:v>-19000</c:v>
                </c:pt>
                <c:pt idx="201">
                  <c:v>-19400</c:v>
                </c:pt>
                <c:pt idx="202">
                  <c:v>-19800</c:v>
                </c:pt>
                <c:pt idx="203">
                  <c:v>-20200</c:v>
                </c:pt>
                <c:pt idx="204">
                  <c:v>-20600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42-4A4F-844C-E30D56C32D3E}"/>
            </c:ext>
          </c:extLst>
        </c:ser>
        <c:ser>
          <c:idx val="2"/>
          <c:order val="2"/>
          <c:tx>
            <c:v>Current Rate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'College Loan'!$E$11:$E$215</c:f>
              <c:numCache>
                <c:formatCode>"$"#,##0.00</c:formatCode>
                <c:ptCount val="205"/>
                <c:pt idx="0">
                  <c:v>61000</c:v>
                </c:pt>
                <c:pt idx="1">
                  <c:v>60500</c:v>
                </c:pt>
                <c:pt idx="2">
                  <c:v>60000</c:v>
                </c:pt>
                <c:pt idx="3">
                  <c:v>59500</c:v>
                </c:pt>
                <c:pt idx="4">
                  <c:v>59000</c:v>
                </c:pt>
                <c:pt idx="5">
                  <c:v>58500</c:v>
                </c:pt>
                <c:pt idx="6">
                  <c:v>58000</c:v>
                </c:pt>
                <c:pt idx="7">
                  <c:v>57500</c:v>
                </c:pt>
                <c:pt idx="8">
                  <c:v>57000</c:v>
                </c:pt>
                <c:pt idx="9">
                  <c:v>56500</c:v>
                </c:pt>
                <c:pt idx="10">
                  <c:v>56000</c:v>
                </c:pt>
                <c:pt idx="11">
                  <c:v>55500</c:v>
                </c:pt>
                <c:pt idx="12">
                  <c:v>55000</c:v>
                </c:pt>
                <c:pt idx="13">
                  <c:v>54500</c:v>
                </c:pt>
                <c:pt idx="14">
                  <c:v>54000</c:v>
                </c:pt>
                <c:pt idx="15">
                  <c:v>53500</c:v>
                </c:pt>
                <c:pt idx="16">
                  <c:v>53000</c:v>
                </c:pt>
                <c:pt idx="17">
                  <c:v>52500</c:v>
                </c:pt>
                <c:pt idx="18">
                  <c:v>52000</c:v>
                </c:pt>
                <c:pt idx="19">
                  <c:v>51500</c:v>
                </c:pt>
                <c:pt idx="20">
                  <c:v>51000</c:v>
                </c:pt>
                <c:pt idx="21">
                  <c:v>50500</c:v>
                </c:pt>
                <c:pt idx="22">
                  <c:v>50000</c:v>
                </c:pt>
                <c:pt idx="23">
                  <c:v>49500</c:v>
                </c:pt>
                <c:pt idx="24">
                  <c:v>49000</c:v>
                </c:pt>
                <c:pt idx="25">
                  <c:v>48500</c:v>
                </c:pt>
                <c:pt idx="26">
                  <c:v>48000</c:v>
                </c:pt>
                <c:pt idx="27">
                  <c:v>47500</c:v>
                </c:pt>
                <c:pt idx="28">
                  <c:v>47000</c:v>
                </c:pt>
                <c:pt idx="29">
                  <c:v>46500</c:v>
                </c:pt>
                <c:pt idx="30">
                  <c:v>46000</c:v>
                </c:pt>
                <c:pt idx="31">
                  <c:v>45500</c:v>
                </c:pt>
                <c:pt idx="32">
                  <c:v>45000</c:v>
                </c:pt>
                <c:pt idx="33">
                  <c:v>44500</c:v>
                </c:pt>
                <c:pt idx="34">
                  <c:v>44000</c:v>
                </c:pt>
                <c:pt idx="35">
                  <c:v>43500</c:v>
                </c:pt>
                <c:pt idx="36">
                  <c:v>43000</c:v>
                </c:pt>
                <c:pt idx="37">
                  <c:v>42500</c:v>
                </c:pt>
                <c:pt idx="38">
                  <c:v>42000</c:v>
                </c:pt>
                <c:pt idx="39">
                  <c:v>41500</c:v>
                </c:pt>
                <c:pt idx="40">
                  <c:v>41000</c:v>
                </c:pt>
                <c:pt idx="41">
                  <c:v>40500</c:v>
                </c:pt>
                <c:pt idx="42">
                  <c:v>40000</c:v>
                </c:pt>
                <c:pt idx="43">
                  <c:v>39500</c:v>
                </c:pt>
                <c:pt idx="44">
                  <c:v>39000</c:v>
                </c:pt>
                <c:pt idx="45">
                  <c:v>38500</c:v>
                </c:pt>
                <c:pt idx="46">
                  <c:v>38000</c:v>
                </c:pt>
                <c:pt idx="47">
                  <c:v>37500</c:v>
                </c:pt>
                <c:pt idx="48">
                  <c:v>37000</c:v>
                </c:pt>
                <c:pt idx="49">
                  <c:v>36500</c:v>
                </c:pt>
                <c:pt idx="50">
                  <c:v>36000</c:v>
                </c:pt>
                <c:pt idx="51">
                  <c:v>35500</c:v>
                </c:pt>
                <c:pt idx="52">
                  <c:v>35000</c:v>
                </c:pt>
                <c:pt idx="53">
                  <c:v>34500</c:v>
                </c:pt>
                <c:pt idx="54">
                  <c:v>34000</c:v>
                </c:pt>
                <c:pt idx="55">
                  <c:v>33500</c:v>
                </c:pt>
                <c:pt idx="56">
                  <c:v>33000</c:v>
                </c:pt>
                <c:pt idx="57">
                  <c:v>32500</c:v>
                </c:pt>
                <c:pt idx="58">
                  <c:v>32000</c:v>
                </c:pt>
                <c:pt idx="59">
                  <c:v>31500</c:v>
                </c:pt>
                <c:pt idx="60">
                  <c:v>31000</c:v>
                </c:pt>
                <c:pt idx="61">
                  <c:v>30500</c:v>
                </c:pt>
                <c:pt idx="62">
                  <c:v>30000</c:v>
                </c:pt>
                <c:pt idx="63">
                  <c:v>29500</c:v>
                </c:pt>
                <c:pt idx="64">
                  <c:v>29000</c:v>
                </c:pt>
                <c:pt idx="65">
                  <c:v>28500</c:v>
                </c:pt>
                <c:pt idx="66">
                  <c:v>28000</c:v>
                </c:pt>
                <c:pt idx="67">
                  <c:v>27500</c:v>
                </c:pt>
                <c:pt idx="68">
                  <c:v>27000</c:v>
                </c:pt>
                <c:pt idx="69">
                  <c:v>26500</c:v>
                </c:pt>
                <c:pt idx="70">
                  <c:v>26000</c:v>
                </c:pt>
                <c:pt idx="71">
                  <c:v>25500</c:v>
                </c:pt>
                <c:pt idx="72">
                  <c:v>25000</c:v>
                </c:pt>
                <c:pt idx="73">
                  <c:v>24500</c:v>
                </c:pt>
                <c:pt idx="74">
                  <c:v>24000</c:v>
                </c:pt>
                <c:pt idx="75">
                  <c:v>23500</c:v>
                </c:pt>
                <c:pt idx="76">
                  <c:v>23000</c:v>
                </c:pt>
                <c:pt idx="77">
                  <c:v>22500</c:v>
                </c:pt>
                <c:pt idx="78">
                  <c:v>22000</c:v>
                </c:pt>
                <c:pt idx="79">
                  <c:v>21500</c:v>
                </c:pt>
                <c:pt idx="80">
                  <c:v>21000</c:v>
                </c:pt>
                <c:pt idx="81">
                  <c:v>20500</c:v>
                </c:pt>
                <c:pt idx="82">
                  <c:v>20000</c:v>
                </c:pt>
                <c:pt idx="83">
                  <c:v>19500</c:v>
                </c:pt>
                <c:pt idx="84">
                  <c:v>19000</c:v>
                </c:pt>
                <c:pt idx="85">
                  <c:v>18500</c:v>
                </c:pt>
                <c:pt idx="86">
                  <c:v>18000</c:v>
                </c:pt>
                <c:pt idx="87">
                  <c:v>17500</c:v>
                </c:pt>
                <c:pt idx="88">
                  <c:v>17000</c:v>
                </c:pt>
                <c:pt idx="89">
                  <c:v>16500</c:v>
                </c:pt>
                <c:pt idx="90">
                  <c:v>16000</c:v>
                </c:pt>
                <c:pt idx="91">
                  <c:v>15500</c:v>
                </c:pt>
                <c:pt idx="92">
                  <c:v>15000</c:v>
                </c:pt>
                <c:pt idx="93">
                  <c:v>14500</c:v>
                </c:pt>
                <c:pt idx="94">
                  <c:v>14000</c:v>
                </c:pt>
                <c:pt idx="95">
                  <c:v>13500</c:v>
                </c:pt>
                <c:pt idx="96">
                  <c:v>13000</c:v>
                </c:pt>
                <c:pt idx="97">
                  <c:v>12500</c:v>
                </c:pt>
                <c:pt idx="98">
                  <c:v>12000</c:v>
                </c:pt>
                <c:pt idx="99">
                  <c:v>11500</c:v>
                </c:pt>
                <c:pt idx="100">
                  <c:v>11000</c:v>
                </c:pt>
                <c:pt idx="101">
                  <c:v>10500</c:v>
                </c:pt>
                <c:pt idx="102">
                  <c:v>10000</c:v>
                </c:pt>
                <c:pt idx="103">
                  <c:v>9500</c:v>
                </c:pt>
                <c:pt idx="104">
                  <c:v>9000</c:v>
                </c:pt>
                <c:pt idx="105">
                  <c:v>8500</c:v>
                </c:pt>
                <c:pt idx="106">
                  <c:v>8000</c:v>
                </c:pt>
                <c:pt idx="107">
                  <c:v>7500</c:v>
                </c:pt>
                <c:pt idx="108">
                  <c:v>7000</c:v>
                </c:pt>
                <c:pt idx="109">
                  <c:v>6500</c:v>
                </c:pt>
                <c:pt idx="110">
                  <c:v>6000</c:v>
                </c:pt>
                <c:pt idx="111">
                  <c:v>5500</c:v>
                </c:pt>
                <c:pt idx="112">
                  <c:v>5000</c:v>
                </c:pt>
                <c:pt idx="113">
                  <c:v>4500</c:v>
                </c:pt>
                <c:pt idx="114">
                  <c:v>4000</c:v>
                </c:pt>
                <c:pt idx="115">
                  <c:v>3500</c:v>
                </c:pt>
                <c:pt idx="116">
                  <c:v>3000</c:v>
                </c:pt>
                <c:pt idx="117">
                  <c:v>2500</c:v>
                </c:pt>
                <c:pt idx="118">
                  <c:v>2000</c:v>
                </c:pt>
                <c:pt idx="119">
                  <c:v>1500</c:v>
                </c:pt>
                <c:pt idx="120">
                  <c:v>1000</c:v>
                </c:pt>
                <c:pt idx="121">
                  <c:v>500</c:v>
                </c:pt>
                <c:pt idx="122">
                  <c:v>0</c:v>
                </c:pt>
                <c:pt idx="123">
                  <c:v>-500</c:v>
                </c:pt>
                <c:pt idx="124">
                  <c:v>-1000</c:v>
                </c:pt>
                <c:pt idx="125">
                  <c:v>-1500</c:v>
                </c:pt>
                <c:pt idx="126">
                  <c:v>-2000</c:v>
                </c:pt>
                <c:pt idx="127">
                  <c:v>-2500</c:v>
                </c:pt>
                <c:pt idx="128">
                  <c:v>-3000</c:v>
                </c:pt>
                <c:pt idx="129">
                  <c:v>-3500</c:v>
                </c:pt>
                <c:pt idx="130">
                  <c:v>-4000</c:v>
                </c:pt>
                <c:pt idx="131">
                  <c:v>-4500</c:v>
                </c:pt>
                <c:pt idx="132">
                  <c:v>-5000</c:v>
                </c:pt>
                <c:pt idx="133">
                  <c:v>-5500</c:v>
                </c:pt>
                <c:pt idx="134">
                  <c:v>-6000</c:v>
                </c:pt>
                <c:pt idx="135">
                  <c:v>-6500</c:v>
                </c:pt>
                <c:pt idx="136">
                  <c:v>-7000</c:v>
                </c:pt>
                <c:pt idx="137">
                  <c:v>-7500</c:v>
                </c:pt>
                <c:pt idx="138">
                  <c:v>-8000</c:v>
                </c:pt>
                <c:pt idx="139">
                  <c:v>-8500</c:v>
                </c:pt>
                <c:pt idx="140">
                  <c:v>-9000</c:v>
                </c:pt>
                <c:pt idx="141">
                  <c:v>-9500</c:v>
                </c:pt>
                <c:pt idx="142">
                  <c:v>-10000</c:v>
                </c:pt>
                <c:pt idx="143">
                  <c:v>-10500</c:v>
                </c:pt>
                <c:pt idx="144">
                  <c:v>-11000</c:v>
                </c:pt>
                <c:pt idx="145">
                  <c:v>-11500</c:v>
                </c:pt>
                <c:pt idx="146">
                  <c:v>-12000</c:v>
                </c:pt>
                <c:pt idx="147">
                  <c:v>-12500</c:v>
                </c:pt>
                <c:pt idx="148">
                  <c:v>-13000</c:v>
                </c:pt>
                <c:pt idx="149">
                  <c:v>-13500</c:v>
                </c:pt>
                <c:pt idx="150">
                  <c:v>-14000</c:v>
                </c:pt>
                <c:pt idx="151">
                  <c:v>-14500</c:v>
                </c:pt>
                <c:pt idx="152">
                  <c:v>-15000</c:v>
                </c:pt>
                <c:pt idx="153">
                  <c:v>-15500</c:v>
                </c:pt>
                <c:pt idx="154">
                  <c:v>-16000</c:v>
                </c:pt>
                <c:pt idx="155">
                  <c:v>-16500</c:v>
                </c:pt>
                <c:pt idx="156">
                  <c:v>-17000</c:v>
                </c:pt>
                <c:pt idx="157">
                  <c:v>-17500</c:v>
                </c:pt>
                <c:pt idx="158">
                  <c:v>-18000</c:v>
                </c:pt>
                <c:pt idx="159">
                  <c:v>-18500</c:v>
                </c:pt>
                <c:pt idx="160">
                  <c:v>-19000</c:v>
                </c:pt>
                <c:pt idx="161">
                  <c:v>-19500</c:v>
                </c:pt>
                <c:pt idx="162">
                  <c:v>-20000</c:v>
                </c:pt>
                <c:pt idx="163">
                  <c:v>-20500</c:v>
                </c:pt>
                <c:pt idx="164">
                  <c:v>-21000</c:v>
                </c:pt>
                <c:pt idx="165">
                  <c:v>-21500</c:v>
                </c:pt>
                <c:pt idx="166">
                  <c:v>-22000</c:v>
                </c:pt>
                <c:pt idx="167">
                  <c:v>-22500</c:v>
                </c:pt>
                <c:pt idx="168">
                  <c:v>-23000</c:v>
                </c:pt>
                <c:pt idx="169">
                  <c:v>-23500</c:v>
                </c:pt>
                <c:pt idx="170">
                  <c:v>-24000</c:v>
                </c:pt>
                <c:pt idx="171">
                  <c:v>-24500</c:v>
                </c:pt>
                <c:pt idx="172">
                  <c:v>-25000</c:v>
                </c:pt>
                <c:pt idx="173">
                  <c:v>-25500</c:v>
                </c:pt>
                <c:pt idx="174">
                  <c:v>-26000</c:v>
                </c:pt>
                <c:pt idx="175">
                  <c:v>-26500</c:v>
                </c:pt>
                <c:pt idx="176">
                  <c:v>-27000</c:v>
                </c:pt>
                <c:pt idx="177">
                  <c:v>-27500</c:v>
                </c:pt>
                <c:pt idx="178">
                  <c:v>-28000</c:v>
                </c:pt>
                <c:pt idx="179">
                  <c:v>-28500</c:v>
                </c:pt>
                <c:pt idx="180">
                  <c:v>-29000</c:v>
                </c:pt>
                <c:pt idx="181">
                  <c:v>-29500</c:v>
                </c:pt>
                <c:pt idx="182">
                  <c:v>-30000</c:v>
                </c:pt>
                <c:pt idx="183">
                  <c:v>-30500</c:v>
                </c:pt>
                <c:pt idx="184">
                  <c:v>-31000</c:v>
                </c:pt>
                <c:pt idx="185">
                  <c:v>-31500</c:v>
                </c:pt>
                <c:pt idx="186">
                  <c:v>-32000</c:v>
                </c:pt>
                <c:pt idx="187">
                  <c:v>-32500</c:v>
                </c:pt>
                <c:pt idx="188">
                  <c:v>-33000</c:v>
                </c:pt>
                <c:pt idx="189">
                  <c:v>-33500</c:v>
                </c:pt>
                <c:pt idx="190">
                  <c:v>-34000</c:v>
                </c:pt>
                <c:pt idx="191">
                  <c:v>-34500</c:v>
                </c:pt>
                <c:pt idx="192">
                  <c:v>-35000</c:v>
                </c:pt>
                <c:pt idx="193">
                  <c:v>-35500</c:v>
                </c:pt>
                <c:pt idx="194">
                  <c:v>-36000</c:v>
                </c:pt>
                <c:pt idx="195">
                  <c:v>-36500</c:v>
                </c:pt>
                <c:pt idx="196">
                  <c:v>-37000</c:v>
                </c:pt>
                <c:pt idx="197">
                  <c:v>-37500</c:v>
                </c:pt>
                <c:pt idx="198">
                  <c:v>-38000</c:v>
                </c:pt>
                <c:pt idx="199">
                  <c:v>-38500</c:v>
                </c:pt>
                <c:pt idx="200">
                  <c:v>-39000</c:v>
                </c:pt>
                <c:pt idx="201">
                  <c:v>-39500</c:v>
                </c:pt>
                <c:pt idx="202">
                  <c:v>-40000</c:v>
                </c:pt>
                <c:pt idx="203">
                  <c:v>-40500</c:v>
                </c:pt>
                <c:pt idx="204">
                  <c:v>-41000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A4F-844C-E30D56C32D3E}"/>
            </c:ext>
          </c:extLst>
        </c:ser>
        <c:ser>
          <c:idx val="3"/>
          <c:order val="3"/>
          <c:tx>
            <c:v>More 100</c:v>
          </c:tx>
          <c:spPr>
            <a:ln w="28575" cap="rnd">
              <a:solidFill>
                <a:schemeClr val="accent6">
                  <a:lumMod val="75000"/>
                  <a:alpha val="9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'College Loan'!$F$11:$F$215</c:f>
              <c:numCache>
                <c:formatCode>"$"#,##0.00</c:formatCode>
                <c:ptCount val="205"/>
                <c:pt idx="0">
                  <c:v>61000</c:v>
                </c:pt>
                <c:pt idx="1">
                  <c:v>60400</c:v>
                </c:pt>
                <c:pt idx="2">
                  <c:v>59800</c:v>
                </c:pt>
                <c:pt idx="3">
                  <c:v>59200</c:v>
                </c:pt>
                <c:pt idx="4">
                  <c:v>58600</c:v>
                </c:pt>
                <c:pt idx="5">
                  <c:v>58000</c:v>
                </c:pt>
                <c:pt idx="6">
                  <c:v>57400</c:v>
                </c:pt>
                <c:pt idx="7">
                  <c:v>56800</c:v>
                </c:pt>
                <c:pt idx="8">
                  <c:v>56200</c:v>
                </c:pt>
                <c:pt idx="9">
                  <c:v>55600</c:v>
                </c:pt>
                <c:pt idx="10">
                  <c:v>55000</c:v>
                </c:pt>
                <c:pt idx="11">
                  <c:v>54400</c:v>
                </c:pt>
                <c:pt idx="12">
                  <c:v>53800</c:v>
                </c:pt>
                <c:pt idx="13">
                  <c:v>53200</c:v>
                </c:pt>
                <c:pt idx="14">
                  <c:v>52600</c:v>
                </c:pt>
                <c:pt idx="15">
                  <c:v>52000</c:v>
                </c:pt>
                <c:pt idx="16">
                  <c:v>51400</c:v>
                </c:pt>
                <c:pt idx="17">
                  <c:v>50800</c:v>
                </c:pt>
                <c:pt idx="18">
                  <c:v>50200</c:v>
                </c:pt>
                <c:pt idx="19">
                  <c:v>49600</c:v>
                </c:pt>
                <c:pt idx="20">
                  <c:v>49000</c:v>
                </c:pt>
                <c:pt idx="21">
                  <c:v>48400</c:v>
                </c:pt>
                <c:pt idx="22">
                  <c:v>47800</c:v>
                </c:pt>
                <c:pt idx="23">
                  <c:v>47200</c:v>
                </c:pt>
                <c:pt idx="24">
                  <c:v>46600</c:v>
                </c:pt>
                <c:pt idx="25">
                  <c:v>46000</c:v>
                </c:pt>
                <c:pt idx="26">
                  <c:v>45400</c:v>
                </c:pt>
                <c:pt idx="27">
                  <c:v>44800</c:v>
                </c:pt>
                <c:pt idx="28">
                  <c:v>44200</c:v>
                </c:pt>
                <c:pt idx="29">
                  <c:v>43600</c:v>
                </c:pt>
                <c:pt idx="30">
                  <c:v>43000</c:v>
                </c:pt>
                <c:pt idx="31">
                  <c:v>42400</c:v>
                </c:pt>
                <c:pt idx="32">
                  <c:v>41800</c:v>
                </c:pt>
                <c:pt idx="33">
                  <c:v>41200</c:v>
                </c:pt>
                <c:pt idx="34">
                  <c:v>40600</c:v>
                </c:pt>
                <c:pt idx="35">
                  <c:v>40000</c:v>
                </c:pt>
                <c:pt idx="36">
                  <c:v>39400</c:v>
                </c:pt>
                <c:pt idx="37">
                  <c:v>38800</c:v>
                </c:pt>
                <c:pt idx="38">
                  <c:v>38200</c:v>
                </c:pt>
                <c:pt idx="39">
                  <c:v>37600</c:v>
                </c:pt>
                <c:pt idx="40">
                  <c:v>37000</c:v>
                </c:pt>
                <c:pt idx="41">
                  <c:v>36400</c:v>
                </c:pt>
                <c:pt idx="42">
                  <c:v>35800</c:v>
                </c:pt>
                <c:pt idx="43">
                  <c:v>35200</c:v>
                </c:pt>
                <c:pt idx="44">
                  <c:v>34600</c:v>
                </c:pt>
                <c:pt idx="45">
                  <c:v>34000</c:v>
                </c:pt>
                <c:pt idx="46">
                  <c:v>33400</c:v>
                </c:pt>
                <c:pt idx="47">
                  <c:v>32800</c:v>
                </c:pt>
                <c:pt idx="48">
                  <c:v>32200</c:v>
                </c:pt>
                <c:pt idx="49">
                  <c:v>31600</c:v>
                </c:pt>
                <c:pt idx="50">
                  <c:v>31000</c:v>
                </c:pt>
                <c:pt idx="51">
                  <c:v>30400</c:v>
                </c:pt>
                <c:pt idx="52">
                  <c:v>29800</c:v>
                </c:pt>
                <c:pt idx="53">
                  <c:v>29200</c:v>
                </c:pt>
                <c:pt idx="54">
                  <c:v>28600</c:v>
                </c:pt>
                <c:pt idx="55">
                  <c:v>28000</c:v>
                </c:pt>
                <c:pt idx="56">
                  <c:v>27400</c:v>
                </c:pt>
                <c:pt idx="57">
                  <c:v>26800</c:v>
                </c:pt>
                <c:pt idx="58">
                  <c:v>26200</c:v>
                </c:pt>
                <c:pt idx="59">
                  <c:v>25600</c:v>
                </c:pt>
                <c:pt idx="60">
                  <c:v>25000</c:v>
                </c:pt>
                <c:pt idx="61">
                  <c:v>24400</c:v>
                </c:pt>
                <c:pt idx="62">
                  <c:v>23800</c:v>
                </c:pt>
                <c:pt idx="63">
                  <c:v>23200</c:v>
                </c:pt>
                <c:pt idx="64">
                  <c:v>22600</c:v>
                </c:pt>
                <c:pt idx="65">
                  <c:v>22000</c:v>
                </c:pt>
                <c:pt idx="66">
                  <c:v>21400</c:v>
                </c:pt>
                <c:pt idx="67">
                  <c:v>20800</c:v>
                </c:pt>
                <c:pt idx="68">
                  <c:v>20200</c:v>
                </c:pt>
                <c:pt idx="69">
                  <c:v>19600</c:v>
                </c:pt>
                <c:pt idx="70">
                  <c:v>19000</c:v>
                </c:pt>
                <c:pt idx="71">
                  <c:v>18400</c:v>
                </c:pt>
                <c:pt idx="72">
                  <c:v>17800</c:v>
                </c:pt>
                <c:pt idx="73">
                  <c:v>17200</c:v>
                </c:pt>
                <c:pt idx="74">
                  <c:v>16600</c:v>
                </c:pt>
                <c:pt idx="75">
                  <c:v>16000</c:v>
                </c:pt>
                <c:pt idx="76">
                  <c:v>15400</c:v>
                </c:pt>
                <c:pt idx="77">
                  <c:v>14800</c:v>
                </c:pt>
                <c:pt idx="78">
                  <c:v>14200</c:v>
                </c:pt>
                <c:pt idx="79">
                  <c:v>13600</c:v>
                </c:pt>
                <c:pt idx="80">
                  <c:v>13000</c:v>
                </c:pt>
                <c:pt idx="81">
                  <c:v>12400</c:v>
                </c:pt>
                <c:pt idx="82">
                  <c:v>11800</c:v>
                </c:pt>
                <c:pt idx="83">
                  <c:v>11200</c:v>
                </c:pt>
                <c:pt idx="84">
                  <c:v>10600</c:v>
                </c:pt>
                <c:pt idx="85">
                  <c:v>10000</c:v>
                </c:pt>
                <c:pt idx="86">
                  <c:v>9400</c:v>
                </c:pt>
                <c:pt idx="87">
                  <c:v>8800</c:v>
                </c:pt>
                <c:pt idx="88">
                  <c:v>8200</c:v>
                </c:pt>
                <c:pt idx="89">
                  <c:v>7600</c:v>
                </c:pt>
                <c:pt idx="90">
                  <c:v>7000</c:v>
                </c:pt>
                <c:pt idx="91">
                  <c:v>6400</c:v>
                </c:pt>
                <c:pt idx="92">
                  <c:v>5800</c:v>
                </c:pt>
                <c:pt idx="93">
                  <c:v>5200</c:v>
                </c:pt>
                <c:pt idx="94">
                  <c:v>4600</c:v>
                </c:pt>
                <c:pt idx="95">
                  <c:v>4000</c:v>
                </c:pt>
                <c:pt idx="96">
                  <c:v>3400</c:v>
                </c:pt>
                <c:pt idx="97">
                  <c:v>2800</c:v>
                </c:pt>
                <c:pt idx="98">
                  <c:v>2200</c:v>
                </c:pt>
                <c:pt idx="99">
                  <c:v>1600</c:v>
                </c:pt>
                <c:pt idx="100">
                  <c:v>1000</c:v>
                </c:pt>
                <c:pt idx="101">
                  <c:v>400</c:v>
                </c:pt>
                <c:pt idx="102">
                  <c:v>-200</c:v>
                </c:pt>
                <c:pt idx="103">
                  <c:v>-800</c:v>
                </c:pt>
                <c:pt idx="104">
                  <c:v>-1400</c:v>
                </c:pt>
                <c:pt idx="105">
                  <c:v>-2000</c:v>
                </c:pt>
                <c:pt idx="106">
                  <c:v>-2600</c:v>
                </c:pt>
                <c:pt idx="107">
                  <c:v>-3200</c:v>
                </c:pt>
                <c:pt idx="108">
                  <c:v>-3800</c:v>
                </c:pt>
                <c:pt idx="109">
                  <c:v>-4400</c:v>
                </c:pt>
                <c:pt idx="110">
                  <c:v>-5000</c:v>
                </c:pt>
                <c:pt idx="111">
                  <c:v>-5600</c:v>
                </c:pt>
                <c:pt idx="112">
                  <c:v>-6200</c:v>
                </c:pt>
                <c:pt idx="113">
                  <c:v>-6800</c:v>
                </c:pt>
                <c:pt idx="114">
                  <c:v>-7400</c:v>
                </c:pt>
                <c:pt idx="115">
                  <c:v>-8000</c:v>
                </c:pt>
                <c:pt idx="116">
                  <c:v>-8600</c:v>
                </c:pt>
                <c:pt idx="117">
                  <c:v>-9200</c:v>
                </c:pt>
                <c:pt idx="118">
                  <c:v>-9800</c:v>
                </c:pt>
                <c:pt idx="119">
                  <c:v>-10400</c:v>
                </c:pt>
                <c:pt idx="120">
                  <c:v>-11000</c:v>
                </c:pt>
                <c:pt idx="121">
                  <c:v>-11600</c:v>
                </c:pt>
                <c:pt idx="122">
                  <c:v>-12200</c:v>
                </c:pt>
                <c:pt idx="123">
                  <c:v>-12800</c:v>
                </c:pt>
                <c:pt idx="124">
                  <c:v>-13400</c:v>
                </c:pt>
                <c:pt idx="125">
                  <c:v>-14000</c:v>
                </c:pt>
                <c:pt idx="126">
                  <c:v>-14600</c:v>
                </c:pt>
                <c:pt idx="127">
                  <c:v>-15200</c:v>
                </c:pt>
                <c:pt idx="128">
                  <c:v>-15800</c:v>
                </c:pt>
                <c:pt idx="129">
                  <c:v>-16400</c:v>
                </c:pt>
                <c:pt idx="130">
                  <c:v>-17000</c:v>
                </c:pt>
                <c:pt idx="131">
                  <c:v>-17600</c:v>
                </c:pt>
                <c:pt idx="132">
                  <c:v>-18200</c:v>
                </c:pt>
                <c:pt idx="133">
                  <c:v>-18800</c:v>
                </c:pt>
                <c:pt idx="134">
                  <c:v>-19400</c:v>
                </c:pt>
                <c:pt idx="135">
                  <c:v>-20000</c:v>
                </c:pt>
                <c:pt idx="136">
                  <c:v>-20600</c:v>
                </c:pt>
                <c:pt idx="137">
                  <c:v>-21200</c:v>
                </c:pt>
                <c:pt idx="138">
                  <c:v>-21800</c:v>
                </c:pt>
                <c:pt idx="139">
                  <c:v>-22400</c:v>
                </c:pt>
                <c:pt idx="140">
                  <c:v>-23000</c:v>
                </c:pt>
                <c:pt idx="141">
                  <c:v>-23600</c:v>
                </c:pt>
                <c:pt idx="142">
                  <c:v>-24200</c:v>
                </c:pt>
                <c:pt idx="143">
                  <c:v>-24800</c:v>
                </c:pt>
                <c:pt idx="144">
                  <c:v>-25400</c:v>
                </c:pt>
                <c:pt idx="145">
                  <c:v>-26000</c:v>
                </c:pt>
                <c:pt idx="146">
                  <c:v>-26600</c:v>
                </c:pt>
                <c:pt idx="147">
                  <c:v>-27200</c:v>
                </c:pt>
                <c:pt idx="148">
                  <c:v>-27800</c:v>
                </c:pt>
                <c:pt idx="149">
                  <c:v>-28400</c:v>
                </c:pt>
                <c:pt idx="150">
                  <c:v>-29000</c:v>
                </c:pt>
                <c:pt idx="151">
                  <c:v>-29600</c:v>
                </c:pt>
                <c:pt idx="152">
                  <c:v>-30200</c:v>
                </c:pt>
                <c:pt idx="153">
                  <c:v>-30800</c:v>
                </c:pt>
                <c:pt idx="154">
                  <c:v>-31400</c:v>
                </c:pt>
                <c:pt idx="155">
                  <c:v>-32000</c:v>
                </c:pt>
                <c:pt idx="156">
                  <c:v>-32600</c:v>
                </c:pt>
                <c:pt idx="157">
                  <c:v>-33200</c:v>
                </c:pt>
                <c:pt idx="158">
                  <c:v>-33800</c:v>
                </c:pt>
                <c:pt idx="159">
                  <c:v>-34400</c:v>
                </c:pt>
                <c:pt idx="160">
                  <c:v>-35000</c:v>
                </c:pt>
                <c:pt idx="161">
                  <c:v>-35600</c:v>
                </c:pt>
                <c:pt idx="162">
                  <c:v>-36200</c:v>
                </c:pt>
                <c:pt idx="163">
                  <c:v>-36800</c:v>
                </c:pt>
                <c:pt idx="164">
                  <c:v>-37400</c:v>
                </c:pt>
                <c:pt idx="165">
                  <c:v>-38000</c:v>
                </c:pt>
                <c:pt idx="166">
                  <c:v>-38600</c:v>
                </c:pt>
                <c:pt idx="167">
                  <c:v>-39200</c:v>
                </c:pt>
                <c:pt idx="168">
                  <c:v>-39800</c:v>
                </c:pt>
                <c:pt idx="169">
                  <c:v>-40400</c:v>
                </c:pt>
                <c:pt idx="170">
                  <c:v>-41000</c:v>
                </c:pt>
                <c:pt idx="171">
                  <c:v>-41600</c:v>
                </c:pt>
                <c:pt idx="172">
                  <c:v>-42200</c:v>
                </c:pt>
                <c:pt idx="173">
                  <c:v>-42800</c:v>
                </c:pt>
                <c:pt idx="174">
                  <c:v>-43400</c:v>
                </c:pt>
                <c:pt idx="175">
                  <c:v>-44000</c:v>
                </c:pt>
                <c:pt idx="176">
                  <c:v>-44600</c:v>
                </c:pt>
                <c:pt idx="177">
                  <c:v>-45200</c:v>
                </c:pt>
                <c:pt idx="178">
                  <c:v>-45800</c:v>
                </c:pt>
                <c:pt idx="179">
                  <c:v>-46400</c:v>
                </c:pt>
                <c:pt idx="180">
                  <c:v>-47000</c:v>
                </c:pt>
                <c:pt idx="181">
                  <c:v>-47600</c:v>
                </c:pt>
                <c:pt idx="182">
                  <c:v>-48200</c:v>
                </c:pt>
                <c:pt idx="183">
                  <c:v>-48800</c:v>
                </c:pt>
                <c:pt idx="184">
                  <c:v>-49400</c:v>
                </c:pt>
                <c:pt idx="185">
                  <c:v>-50000</c:v>
                </c:pt>
                <c:pt idx="186">
                  <c:v>-50600</c:v>
                </c:pt>
                <c:pt idx="187">
                  <c:v>-51200</c:v>
                </c:pt>
                <c:pt idx="188">
                  <c:v>-51800</c:v>
                </c:pt>
                <c:pt idx="189">
                  <c:v>-52400</c:v>
                </c:pt>
                <c:pt idx="190">
                  <c:v>-53000</c:v>
                </c:pt>
                <c:pt idx="191">
                  <c:v>-53600</c:v>
                </c:pt>
                <c:pt idx="192">
                  <c:v>-54200</c:v>
                </c:pt>
                <c:pt idx="193">
                  <c:v>-54800</c:v>
                </c:pt>
                <c:pt idx="194">
                  <c:v>-55400</c:v>
                </c:pt>
                <c:pt idx="195">
                  <c:v>-56000</c:v>
                </c:pt>
                <c:pt idx="196">
                  <c:v>-56600</c:v>
                </c:pt>
                <c:pt idx="197">
                  <c:v>-57200</c:v>
                </c:pt>
                <c:pt idx="198">
                  <c:v>-57800</c:v>
                </c:pt>
                <c:pt idx="199">
                  <c:v>-58400</c:v>
                </c:pt>
                <c:pt idx="200">
                  <c:v>-59000</c:v>
                </c:pt>
                <c:pt idx="201">
                  <c:v>-59600</c:v>
                </c:pt>
                <c:pt idx="202">
                  <c:v>-60200</c:v>
                </c:pt>
                <c:pt idx="203">
                  <c:v>-60800</c:v>
                </c:pt>
                <c:pt idx="204">
                  <c:v>-61400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42-4A4F-844C-E30D56C32D3E}"/>
            </c:ext>
          </c:extLst>
        </c:ser>
        <c:ser>
          <c:idx val="4"/>
          <c:order val="4"/>
          <c:tx>
            <c:v>More 200</c:v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'College Loan'!$G$11:$G$215</c:f>
              <c:numCache>
                <c:formatCode>"$"#,##0.00</c:formatCode>
                <c:ptCount val="205"/>
                <c:pt idx="0">
                  <c:v>61000</c:v>
                </c:pt>
                <c:pt idx="1">
                  <c:v>60300</c:v>
                </c:pt>
                <c:pt idx="2">
                  <c:v>59600</c:v>
                </c:pt>
                <c:pt idx="3">
                  <c:v>58900</c:v>
                </c:pt>
                <c:pt idx="4">
                  <c:v>58200</c:v>
                </c:pt>
                <c:pt idx="5">
                  <c:v>57500</c:v>
                </c:pt>
                <c:pt idx="6">
                  <c:v>56800</c:v>
                </c:pt>
                <c:pt idx="7">
                  <c:v>56100</c:v>
                </c:pt>
                <c:pt idx="8">
                  <c:v>55400</c:v>
                </c:pt>
                <c:pt idx="9">
                  <c:v>54700</c:v>
                </c:pt>
                <c:pt idx="10">
                  <c:v>54000</c:v>
                </c:pt>
                <c:pt idx="11">
                  <c:v>53300</c:v>
                </c:pt>
                <c:pt idx="12">
                  <c:v>52600</c:v>
                </c:pt>
                <c:pt idx="13">
                  <c:v>51900</c:v>
                </c:pt>
                <c:pt idx="14">
                  <c:v>51200</c:v>
                </c:pt>
                <c:pt idx="15">
                  <c:v>50500</c:v>
                </c:pt>
                <c:pt idx="16">
                  <c:v>49800</c:v>
                </c:pt>
                <c:pt idx="17">
                  <c:v>49100</c:v>
                </c:pt>
                <c:pt idx="18">
                  <c:v>48400</c:v>
                </c:pt>
                <c:pt idx="19">
                  <c:v>47700</c:v>
                </c:pt>
                <c:pt idx="20">
                  <c:v>47000</c:v>
                </c:pt>
                <c:pt idx="21">
                  <c:v>46300</c:v>
                </c:pt>
                <c:pt idx="22">
                  <c:v>45600</c:v>
                </c:pt>
                <c:pt idx="23">
                  <c:v>44900</c:v>
                </c:pt>
                <c:pt idx="24">
                  <c:v>44200</c:v>
                </c:pt>
                <c:pt idx="25">
                  <c:v>43500</c:v>
                </c:pt>
                <c:pt idx="26">
                  <c:v>42800</c:v>
                </c:pt>
                <c:pt idx="27">
                  <c:v>42100</c:v>
                </c:pt>
                <c:pt idx="28">
                  <c:v>41400</c:v>
                </c:pt>
                <c:pt idx="29">
                  <c:v>40700</c:v>
                </c:pt>
                <c:pt idx="30">
                  <c:v>40000</c:v>
                </c:pt>
                <c:pt idx="31">
                  <c:v>39300</c:v>
                </c:pt>
                <c:pt idx="32">
                  <c:v>38600</c:v>
                </c:pt>
                <c:pt idx="33">
                  <c:v>37900</c:v>
                </c:pt>
                <c:pt idx="34">
                  <c:v>37200</c:v>
                </c:pt>
                <c:pt idx="35">
                  <c:v>36500</c:v>
                </c:pt>
                <c:pt idx="36">
                  <c:v>35800</c:v>
                </c:pt>
                <c:pt idx="37">
                  <c:v>35100</c:v>
                </c:pt>
                <c:pt idx="38">
                  <c:v>34400</c:v>
                </c:pt>
                <c:pt idx="39">
                  <c:v>33700</c:v>
                </c:pt>
                <c:pt idx="40">
                  <c:v>33000</c:v>
                </c:pt>
                <c:pt idx="41">
                  <c:v>32300</c:v>
                </c:pt>
                <c:pt idx="42">
                  <c:v>31600</c:v>
                </c:pt>
                <c:pt idx="43">
                  <c:v>30900</c:v>
                </c:pt>
                <c:pt idx="44">
                  <c:v>30200</c:v>
                </c:pt>
                <c:pt idx="45">
                  <c:v>29500</c:v>
                </c:pt>
                <c:pt idx="46">
                  <c:v>28800</c:v>
                </c:pt>
                <c:pt idx="47">
                  <c:v>28100</c:v>
                </c:pt>
                <c:pt idx="48">
                  <c:v>27400</c:v>
                </c:pt>
                <c:pt idx="49">
                  <c:v>26700</c:v>
                </c:pt>
                <c:pt idx="50">
                  <c:v>26000</c:v>
                </c:pt>
                <c:pt idx="51">
                  <c:v>25300</c:v>
                </c:pt>
                <c:pt idx="52">
                  <c:v>24600</c:v>
                </c:pt>
                <c:pt idx="53">
                  <c:v>23900</c:v>
                </c:pt>
                <c:pt idx="54">
                  <c:v>23200</c:v>
                </c:pt>
                <c:pt idx="55">
                  <c:v>22500</c:v>
                </c:pt>
                <c:pt idx="56">
                  <c:v>21800</c:v>
                </c:pt>
                <c:pt idx="57">
                  <c:v>21100</c:v>
                </c:pt>
                <c:pt idx="58">
                  <c:v>20400</c:v>
                </c:pt>
                <c:pt idx="59">
                  <c:v>19700</c:v>
                </c:pt>
                <c:pt idx="60">
                  <c:v>19000</c:v>
                </c:pt>
                <c:pt idx="61">
                  <c:v>18300</c:v>
                </c:pt>
                <c:pt idx="62">
                  <c:v>17600</c:v>
                </c:pt>
                <c:pt idx="63">
                  <c:v>16900</c:v>
                </c:pt>
                <c:pt idx="64">
                  <c:v>16200</c:v>
                </c:pt>
                <c:pt idx="65">
                  <c:v>15500</c:v>
                </c:pt>
                <c:pt idx="66">
                  <c:v>14800</c:v>
                </c:pt>
                <c:pt idx="67">
                  <c:v>14100</c:v>
                </c:pt>
                <c:pt idx="68">
                  <c:v>13400</c:v>
                </c:pt>
                <c:pt idx="69">
                  <c:v>12700</c:v>
                </c:pt>
                <c:pt idx="70">
                  <c:v>12000</c:v>
                </c:pt>
                <c:pt idx="71">
                  <c:v>11300</c:v>
                </c:pt>
                <c:pt idx="72">
                  <c:v>10600</c:v>
                </c:pt>
                <c:pt idx="73">
                  <c:v>9900</c:v>
                </c:pt>
                <c:pt idx="74">
                  <c:v>9200</c:v>
                </c:pt>
                <c:pt idx="75">
                  <c:v>8500</c:v>
                </c:pt>
                <c:pt idx="76">
                  <c:v>7800</c:v>
                </c:pt>
                <c:pt idx="77">
                  <c:v>7100</c:v>
                </c:pt>
                <c:pt idx="78">
                  <c:v>6400</c:v>
                </c:pt>
                <c:pt idx="79">
                  <c:v>5700</c:v>
                </c:pt>
                <c:pt idx="80">
                  <c:v>5000</c:v>
                </c:pt>
                <c:pt idx="81">
                  <c:v>4300</c:v>
                </c:pt>
                <c:pt idx="82">
                  <c:v>3600</c:v>
                </c:pt>
                <c:pt idx="83">
                  <c:v>2900</c:v>
                </c:pt>
                <c:pt idx="84">
                  <c:v>2200</c:v>
                </c:pt>
                <c:pt idx="85">
                  <c:v>1500</c:v>
                </c:pt>
                <c:pt idx="86">
                  <c:v>800</c:v>
                </c:pt>
                <c:pt idx="87">
                  <c:v>100</c:v>
                </c:pt>
                <c:pt idx="88">
                  <c:v>-600</c:v>
                </c:pt>
                <c:pt idx="89">
                  <c:v>-1300</c:v>
                </c:pt>
                <c:pt idx="90">
                  <c:v>-2000</c:v>
                </c:pt>
                <c:pt idx="91">
                  <c:v>-2700</c:v>
                </c:pt>
                <c:pt idx="92">
                  <c:v>-3400</c:v>
                </c:pt>
                <c:pt idx="93">
                  <c:v>-4100</c:v>
                </c:pt>
                <c:pt idx="94">
                  <c:v>-4800</c:v>
                </c:pt>
                <c:pt idx="95">
                  <c:v>-5500</c:v>
                </c:pt>
                <c:pt idx="96">
                  <c:v>-6200</c:v>
                </c:pt>
                <c:pt idx="97">
                  <c:v>-6900</c:v>
                </c:pt>
                <c:pt idx="98">
                  <c:v>-7600</c:v>
                </c:pt>
                <c:pt idx="99">
                  <c:v>-8300</c:v>
                </c:pt>
                <c:pt idx="100">
                  <c:v>-9000</c:v>
                </c:pt>
                <c:pt idx="101">
                  <c:v>-9700</c:v>
                </c:pt>
                <c:pt idx="102">
                  <c:v>-10400</c:v>
                </c:pt>
                <c:pt idx="103">
                  <c:v>-11100</c:v>
                </c:pt>
                <c:pt idx="104">
                  <c:v>-11800</c:v>
                </c:pt>
                <c:pt idx="105">
                  <c:v>-12500</c:v>
                </c:pt>
                <c:pt idx="106">
                  <c:v>-13200</c:v>
                </c:pt>
                <c:pt idx="107">
                  <c:v>-13900</c:v>
                </c:pt>
                <c:pt idx="108">
                  <c:v>-14600</c:v>
                </c:pt>
                <c:pt idx="109">
                  <c:v>-15300</c:v>
                </c:pt>
                <c:pt idx="110">
                  <c:v>-16000</c:v>
                </c:pt>
                <c:pt idx="111">
                  <c:v>-16700</c:v>
                </c:pt>
                <c:pt idx="112">
                  <c:v>-17400</c:v>
                </c:pt>
                <c:pt idx="113">
                  <c:v>-18100</c:v>
                </c:pt>
                <c:pt idx="114">
                  <c:v>-18800</c:v>
                </c:pt>
                <c:pt idx="115">
                  <c:v>-19500</c:v>
                </c:pt>
                <c:pt idx="116">
                  <c:v>-20200</c:v>
                </c:pt>
                <c:pt idx="117">
                  <c:v>-20900</c:v>
                </c:pt>
                <c:pt idx="118">
                  <c:v>-21600</c:v>
                </c:pt>
                <c:pt idx="119">
                  <c:v>-22300</c:v>
                </c:pt>
                <c:pt idx="120">
                  <c:v>-23000</c:v>
                </c:pt>
                <c:pt idx="121">
                  <c:v>-23700</c:v>
                </c:pt>
                <c:pt idx="122">
                  <c:v>-24400</c:v>
                </c:pt>
                <c:pt idx="123">
                  <c:v>-25100</c:v>
                </c:pt>
                <c:pt idx="124">
                  <c:v>-25800</c:v>
                </c:pt>
                <c:pt idx="125">
                  <c:v>-26500</c:v>
                </c:pt>
                <c:pt idx="126">
                  <c:v>-27200</c:v>
                </c:pt>
                <c:pt idx="127">
                  <c:v>-27900</c:v>
                </c:pt>
                <c:pt idx="128">
                  <c:v>-28600</c:v>
                </c:pt>
                <c:pt idx="129">
                  <c:v>-29300</c:v>
                </c:pt>
                <c:pt idx="130">
                  <c:v>-30000</c:v>
                </c:pt>
                <c:pt idx="131">
                  <c:v>-30700</c:v>
                </c:pt>
                <c:pt idx="132">
                  <c:v>-31400</c:v>
                </c:pt>
                <c:pt idx="133">
                  <c:v>-32100</c:v>
                </c:pt>
                <c:pt idx="134">
                  <c:v>-32800</c:v>
                </c:pt>
                <c:pt idx="135">
                  <c:v>-33500</c:v>
                </c:pt>
                <c:pt idx="136">
                  <c:v>-34200</c:v>
                </c:pt>
                <c:pt idx="137">
                  <c:v>-34900</c:v>
                </c:pt>
                <c:pt idx="138">
                  <c:v>-35600</c:v>
                </c:pt>
                <c:pt idx="139">
                  <c:v>-36300</c:v>
                </c:pt>
                <c:pt idx="140">
                  <c:v>-37000</c:v>
                </c:pt>
                <c:pt idx="141">
                  <c:v>-37700</c:v>
                </c:pt>
                <c:pt idx="142">
                  <c:v>-38400</c:v>
                </c:pt>
                <c:pt idx="143">
                  <c:v>-39100</c:v>
                </c:pt>
                <c:pt idx="144">
                  <c:v>-39800</c:v>
                </c:pt>
                <c:pt idx="145">
                  <c:v>-40500</c:v>
                </c:pt>
                <c:pt idx="146">
                  <c:v>-41200</c:v>
                </c:pt>
                <c:pt idx="147">
                  <c:v>-41900</c:v>
                </c:pt>
                <c:pt idx="148">
                  <c:v>-42600</c:v>
                </c:pt>
                <c:pt idx="149">
                  <c:v>-43300</c:v>
                </c:pt>
                <c:pt idx="150">
                  <c:v>-44000</c:v>
                </c:pt>
                <c:pt idx="151">
                  <c:v>-44700</c:v>
                </c:pt>
                <c:pt idx="152">
                  <c:v>-45400</c:v>
                </c:pt>
                <c:pt idx="153">
                  <c:v>-46100</c:v>
                </c:pt>
                <c:pt idx="154">
                  <c:v>-46800</c:v>
                </c:pt>
                <c:pt idx="155">
                  <c:v>-47500</c:v>
                </c:pt>
                <c:pt idx="156">
                  <c:v>-48200</c:v>
                </c:pt>
                <c:pt idx="157">
                  <c:v>-48900</c:v>
                </c:pt>
                <c:pt idx="158">
                  <c:v>-49600</c:v>
                </c:pt>
                <c:pt idx="159">
                  <c:v>-50300</c:v>
                </c:pt>
                <c:pt idx="160">
                  <c:v>-51000</c:v>
                </c:pt>
                <c:pt idx="161">
                  <c:v>-51700</c:v>
                </c:pt>
                <c:pt idx="162">
                  <c:v>-52400</c:v>
                </c:pt>
                <c:pt idx="163">
                  <c:v>-53100</c:v>
                </c:pt>
                <c:pt idx="164">
                  <c:v>-53800</c:v>
                </c:pt>
                <c:pt idx="165">
                  <c:v>-54500</c:v>
                </c:pt>
                <c:pt idx="166">
                  <c:v>-55200</c:v>
                </c:pt>
                <c:pt idx="167">
                  <c:v>-55900</c:v>
                </c:pt>
                <c:pt idx="168">
                  <c:v>-56600</c:v>
                </c:pt>
                <c:pt idx="169">
                  <c:v>-57300</c:v>
                </c:pt>
                <c:pt idx="170">
                  <c:v>-58000</c:v>
                </c:pt>
                <c:pt idx="171">
                  <c:v>-58700</c:v>
                </c:pt>
                <c:pt idx="172">
                  <c:v>-59400</c:v>
                </c:pt>
                <c:pt idx="173">
                  <c:v>-60100</c:v>
                </c:pt>
                <c:pt idx="174">
                  <c:v>-60800</c:v>
                </c:pt>
                <c:pt idx="175">
                  <c:v>-61500</c:v>
                </c:pt>
                <c:pt idx="176">
                  <c:v>-62200</c:v>
                </c:pt>
                <c:pt idx="177">
                  <c:v>-62900</c:v>
                </c:pt>
                <c:pt idx="178">
                  <c:v>-63600</c:v>
                </c:pt>
                <c:pt idx="179">
                  <c:v>-64300</c:v>
                </c:pt>
                <c:pt idx="180">
                  <c:v>-65000</c:v>
                </c:pt>
                <c:pt idx="181">
                  <c:v>-65700</c:v>
                </c:pt>
                <c:pt idx="182">
                  <c:v>-66400</c:v>
                </c:pt>
                <c:pt idx="183">
                  <c:v>-67100</c:v>
                </c:pt>
                <c:pt idx="184">
                  <c:v>-67800</c:v>
                </c:pt>
                <c:pt idx="185">
                  <c:v>-68500</c:v>
                </c:pt>
                <c:pt idx="186">
                  <c:v>-69200</c:v>
                </c:pt>
                <c:pt idx="187">
                  <c:v>-69900</c:v>
                </c:pt>
                <c:pt idx="188">
                  <c:v>-70600</c:v>
                </c:pt>
                <c:pt idx="189">
                  <c:v>-71300</c:v>
                </c:pt>
                <c:pt idx="190">
                  <c:v>-72000</c:v>
                </c:pt>
                <c:pt idx="191">
                  <c:v>-72700</c:v>
                </c:pt>
                <c:pt idx="192">
                  <c:v>-73400</c:v>
                </c:pt>
                <c:pt idx="193">
                  <c:v>-74100</c:v>
                </c:pt>
                <c:pt idx="194">
                  <c:v>-74800</c:v>
                </c:pt>
                <c:pt idx="195">
                  <c:v>-75500</c:v>
                </c:pt>
                <c:pt idx="196">
                  <c:v>-76200</c:v>
                </c:pt>
                <c:pt idx="197">
                  <c:v>-76900</c:v>
                </c:pt>
                <c:pt idx="198">
                  <c:v>-77600</c:v>
                </c:pt>
                <c:pt idx="199">
                  <c:v>-78300</c:v>
                </c:pt>
                <c:pt idx="200">
                  <c:v>-79000</c:v>
                </c:pt>
                <c:pt idx="201">
                  <c:v>-79700</c:v>
                </c:pt>
                <c:pt idx="202">
                  <c:v>-80400</c:v>
                </c:pt>
                <c:pt idx="203">
                  <c:v>-81100</c:v>
                </c:pt>
                <c:pt idx="204">
                  <c:v>-81800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42-4A4F-844C-E30D56C32D3E}"/>
            </c:ext>
          </c:extLst>
        </c:ser>
        <c:ser>
          <c:idx val="5"/>
          <c:order val="5"/>
          <c:tx>
            <c:v>More 300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'College Loan'!$H$11:$H$215</c:f>
              <c:numCache>
                <c:formatCode>"$"#,##0.00</c:formatCode>
                <c:ptCount val="205"/>
                <c:pt idx="0">
                  <c:v>61000</c:v>
                </c:pt>
                <c:pt idx="1">
                  <c:v>60200</c:v>
                </c:pt>
                <c:pt idx="2">
                  <c:v>59400</c:v>
                </c:pt>
                <c:pt idx="3">
                  <c:v>58600</c:v>
                </c:pt>
                <c:pt idx="4">
                  <c:v>57800</c:v>
                </c:pt>
                <c:pt idx="5">
                  <c:v>57000</c:v>
                </c:pt>
                <c:pt idx="6">
                  <c:v>56200</c:v>
                </c:pt>
                <c:pt idx="7">
                  <c:v>55400</c:v>
                </c:pt>
                <c:pt idx="8">
                  <c:v>54600</c:v>
                </c:pt>
                <c:pt idx="9">
                  <c:v>53800</c:v>
                </c:pt>
                <c:pt idx="10">
                  <c:v>53000</c:v>
                </c:pt>
                <c:pt idx="11">
                  <c:v>52200</c:v>
                </c:pt>
                <c:pt idx="12">
                  <c:v>51400</c:v>
                </c:pt>
                <c:pt idx="13">
                  <c:v>50600</c:v>
                </c:pt>
                <c:pt idx="14">
                  <c:v>49800</c:v>
                </c:pt>
                <c:pt idx="15">
                  <c:v>49000</c:v>
                </c:pt>
                <c:pt idx="16">
                  <c:v>48200</c:v>
                </c:pt>
                <c:pt idx="17">
                  <c:v>47400</c:v>
                </c:pt>
                <c:pt idx="18">
                  <c:v>46600</c:v>
                </c:pt>
                <c:pt idx="19">
                  <c:v>45800</c:v>
                </c:pt>
                <c:pt idx="20">
                  <c:v>45000</c:v>
                </c:pt>
                <c:pt idx="21">
                  <c:v>44200</c:v>
                </c:pt>
                <c:pt idx="22">
                  <c:v>43400</c:v>
                </c:pt>
                <c:pt idx="23">
                  <c:v>42600</c:v>
                </c:pt>
                <c:pt idx="24">
                  <c:v>41800</c:v>
                </c:pt>
                <c:pt idx="25">
                  <c:v>41000</c:v>
                </c:pt>
                <c:pt idx="26">
                  <c:v>40200</c:v>
                </c:pt>
                <c:pt idx="27">
                  <c:v>39400</c:v>
                </c:pt>
                <c:pt idx="28">
                  <c:v>38600</c:v>
                </c:pt>
                <c:pt idx="29">
                  <c:v>37800</c:v>
                </c:pt>
                <c:pt idx="30">
                  <c:v>37000</c:v>
                </c:pt>
                <c:pt idx="31">
                  <c:v>36200</c:v>
                </c:pt>
                <c:pt idx="32">
                  <c:v>35400</c:v>
                </c:pt>
                <c:pt idx="33">
                  <c:v>34600</c:v>
                </c:pt>
                <c:pt idx="34">
                  <c:v>33800</c:v>
                </c:pt>
                <c:pt idx="35">
                  <c:v>33000</c:v>
                </c:pt>
                <c:pt idx="36">
                  <c:v>32200</c:v>
                </c:pt>
                <c:pt idx="37">
                  <c:v>31400</c:v>
                </c:pt>
                <c:pt idx="38">
                  <c:v>30600</c:v>
                </c:pt>
                <c:pt idx="39">
                  <c:v>29800</c:v>
                </c:pt>
                <c:pt idx="40">
                  <c:v>29000</c:v>
                </c:pt>
                <c:pt idx="41">
                  <c:v>28200</c:v>
                </c:pt>
                <c:pt idx="42">
                  <c:v>27400</c:v>
                </c:pt>
                <c:pt idx="43">
                  <c:v>26600</c:v>
                </c:pt>
                <c:pt idx="44">
                  <c:v>25800</c:v>
                </c:pt>
                <c:pt idx="45">
                  <c:v>25000</c:v>
                </c:pt>
                <c:pt idx="46">
                  <c:v>24200</c:v>
                </c:pt>
                <c:pt idx="47">
                  <c:v>23400</c:v>
                </c:pt>
                <c:pt idx="48">
                  <c:v>22600</c:v>
                </c:pt>
                <c:pt idx="49">
                  <c:v>21800</c:v>
                </c:pt>
                <c:pt idx="50">
                  <c:v>21000</c:v>
                </c:pt>
                <c:pt idx="51">
                  <c:v>20200</c:v>
                </c:pt>
                <c:pt idx="52">
                  <c:v>19400</c:v>
                </c:pt>
                <c:pt idx="53">
                  <c:v>18600</c:v>
                </c:pt>
                <c:pt idx="54">
                  <c:v>17800</c:v>
                </c:pt>
                <c:pt idx="55">
                  <c:v>17000</c:v>
                </c:pt>
                <c:pt idx="56">
                  <c:v>16200</c:v>
                </c:pt>
                <c:pt idx="57">
                  <c:v>15400</c:v>
                </c:pt>
                <c:pt idx="58">
                  <c:v>14600</c:v>
                </c:pt>
                <c:pt idx="59">
                  <c:v>13800</c:v>
                </c:pt>
                <c:pt idx="60">
                  <c:v>13000</c:v>
                </c:pt>
                <c:pt idx="61">
                  <c:v>12200</c:v>
                </c:pt>
                <c:pt idx="62">
                  <c:v>11400</c:v>
                </c:pt>
                <c:pt idx="63">
                  <c:v>10600</c:v>
                </c:pt>
                <c:pt idx="64">
                  <c:v>9800</c:v>
                </c:pt>
                <c:pt idx="65">
                  <c:v>9000</c:v>
                </c:pt>
                <c:pt idx="66">
                  <c:v>8200</c:v>
                </c:pt>
                <c:pt idx="67">
                  <c:v>7400</c:v>
                </c:pt>
                <c:pt idx="68">
                  <c:v>6600</c:v>
                </c:pt>
                <c:pt idx="69">
                  <c:v>5800</c:v>
                </c:pt>
                <c:pt idx="70">
                  <c:v>5000</c:v>
                </c:pt>
                <c:pt idx="71">
                  <c:v>4200</c:v>
                </c:pt>
                <c:pt idx="72">
                  <c:v>3400</c:v>
                </c:pt>
                <c:pt idx="73">
                  <c:v>2600</c:v>
                </c:pt>
                <c:pt idx="74">
                  <c:v>1800</c:v>
                </c:pt>
                <c:pt idx="75">
                  <c:v>1000</c:v>
                </c:pt>
                <c:pt idx="76">
                  <c:v>200</c:v>
                </c:pt>
                <c:pt idx="77">
                  <c:v>-600</c:v>
                </c:pt>
                <c:pt idx="78">
                  <c:v>-1400</c:v>
                </c:pt>
                <c:pt idx="79">
                  <c:v>-2200</c:v>
                </c:pt>
                <c:pt idx="80">
                  <c:v>-3000</c:v>
                </c:pt>
                <c:pt idx="81">
                  <c:v>-3800</c:v>
                </c:pt>
                <c:pt idx="82">
                  <c:v>-4600</c:v>
                </c:pt>
                <c:pt idx="83">
                  <c:v>-5400</c:v>
                </c:pt>
                <c:pt idx="84">
                  <c:v>-6200</c:v>
                </c:pt>
                <c:pt idx="85">
                  <c:v>-7000</c:v>
                </c:pt>
                <c:pt idx="86">
                  <c:v>-7800</c:v>
                </c:pt>
                <c:pt idx="87">
                  <c:v>-8600</c:v>
                </c:pt>
                <c:pt idx="88">
                  <c:v>-9400</c:v>
                </c:pt>
                <c:pt idx="89">
                  <c:v>-10200</c:v>
                </c:pt>
                <c:pt idx="90">
                  <c:v>-11000</c:v>
                </c:pt>
                <c:pt idx="91">
                  <c:v>-11800</c:v>
                </c:pt>
                <c:pt idx="92">
                  <c:v>-12600</c:v>
                </c:pt>
                <c:pt idx="93">
                  <c:v>-13400</c:v>
                </c:pt>
                <c:pt idx="94">
                  <c:v>-14200</c:v>
                </c:pt>
                <c:pt idx="95">
                  <c:v>-15000</c:v>
                </c:pt>
                <c:pt idx="96">
                  <c:v>-15800</c:v>
                </c:pt>
                <c:pt idx="97">
                  <c:v>-16600</c:v>
                </c:pt>
                <c:pt idx="98">
                  <c:v>-17400</c:v>
                </c:pt>
                <c:pt idx="99">
                  <c:v>-18200</c:v>
                </c:pt>
                <c:pt idx="100">
                  <c:v>-19000</c:v>
                </c:pt>
                <c:pt idx="101">
                  <c:v>-19800</c:v>
                </c:pt>
                <c:pt idx="102">
                  <c:v>-20600</c:v>
                </c:pt>
                <c:pt idx="103">
                  <c:v>-21400</c:v>
                </c:pt>
                <c:pt idx="104">
                  <c:v>-22200</c:v>
                </c:pt>
                <c:pt idx="105">
                  <c:v>-23000</c:v>
                </c:pt>
                <c:pt idx="106">
                  <c:v>-23800</c:v>
                </c:pt>
                <c:pt idx="107">
                  <c:v>-24600</c:v>
                </c:pt>
                <c:pt idx="108">
                  <c:v>-25400</c:v>
                </c:pt>
                <c:pt idx="109">
                  <c:v>-26200</c:v>
                </c:pt>
                <c:pt idx="110">
                  <c:v>-27000</c:v>
                </c:pt>
                <c:pt idx="111">
                  <c:v>-27800</c:v>
                </c:pt>
                <c:pt idx="112">
                  <c:v>-28600</c:v>
                </c:pt>
                <c:pt idx="113">
                  <c:v>-29400</c:v>
                </c:pt>
                <c:pt idx="114">
                  <c:v>-30200</c:v>
                </c:pt>
                <c:pt idx="115">
                  <c:v>-31000</c:v>
                </c:pt>
                <c:pt idx="116">
                  <c:v>-31800</c:v>
                </c:pt>
                <c:pt idx="117">
                  <c:v>-32600</c:v>
                </c:pt>
                <c:pt idx="118">
                  <c:v>-33400</c:v>
                </c:pt>
                <c:pt idx="119">
                  <c:v>-34200</c:v>
                </c:pt>
                <c:pt idx="120">
                  <c:v>-35000</c:v>
                </c:pt>
                <c:pt idx="121">
                  <c:v>-35800</c:v>
                </c:pt>
                <c:pt idx="122">
                  <c:v>-36600</c:v>
                </c:pt>
                <c:pt idx="123">
                  <c:v>-37400</c:v>
                </c:pt>
                <c:pt idx="124">
                  <c:v>-38200</c:v>
                </c:pt>
                <c:pt idx="125">
                  <c:v>-39000</c:v>
                </c:pt>
                <c:pt idx="126">
                  <c:v>-39800</c:v>
                </c:pt>
                <c:pt idx="127">
                  <c:v>-40600</c:v>
                </c:pt>
                <c:pt idx="128">
                  <c:v>-41400</c:v>
                </c:pt>
                <c:pt idx="129">
                  <c:v>-42200</c:v>
                </c:pt>
                <c:pt idx="130">
                  <c:v>-43000</c:v>
                </c:pt>
                <c:pt idx="131">
                  <c:v>-43800</c:v>
                </c:pt>
                <c:pt idx="132">
                  <c:v>-44600</c:v>
                </c:pt>
                <c:pt idx="133">
                  <c:v>-45400</c:v>
                </c:pt>
                <c:pt idx="134">
                  <c:v>-46200</c:v>
                </c:pt>
                <c:pt idx="135">
                  <c:v>-47000</c:v>
                </c:pt>
                <c:pt idx="136">
                  <c:v>-47800</c:v>
                </c:pt>
                <c:pt idx="137">
                  <c:v>-48600</c:v>
                </c:pt>
                <c:pt idx="138">
                  <c:v>-49400</c:v>
                </c:pt>
                <c:pt idx="139">
                  <c:v>-50200</c:v>
                </c:pt>
                <c:pt idx="140">
                  <c:v>-51000</c:v>
                </c:pt>
                <c:pt idx="141">
                  <c:v>-51800</c:v>
                </c:pt>
                <c:pt idx="142">
                  <c:v>-52600</c:v>
                </c:pt>
                <c:pt idx="143">
                  <c:v>-53400</c:v>
                </c:pt>
                <c:pt idx="144">
                  <c:v>-54200</c:v>
                </c:pt>
                <c:pt idx="145">
                  <c:v>-55000</c:v>
                </c:pt>
                <c:pt idx="146">
                  <c:v>-55800</c:v>
                </c:pt>
                <c:pt idx="147">
                  <c:v>-56600</c:v>
                </c:pt>
                <c:pt idx="148">
                  <c:v>-57400</c:v>
                </c:pt>
                <c:pt idx="149">
                  <c:v>-58200</c:v>
                </c:pt>
                <c:pt idx="150">
                  <c:v>-59000</c:v>
                </c:pt>
                <c:pt idx="151">
                  <c:v>-59800</c:v>
                </c:pt>
                <c:pt idx="152">
                  <c:v>-60600</c:v>
                </c:pt>
                <c:pt idx="153">
                  <c:v>-61400</c:v>
                </c:pt>
                <c:pt idx="154">
                  <c:v>-62200</c:v>
                </c:pt>
                <c:pt idx="155">
                  <c:v>-63000</c:v>
                </c:pt>
                <c:pt idx="156">
                  <c:v>-63800</c:v>
                </c:pt>
                <c:pt idx="157">
                  <c:v>-64600</c:v>
                </c:pt>
                <c:pt idx="158">
                  <c:v>-65400</c:v>
                </c:pt>
                <c:pt idx="159">
                  <c:v>-66200</c:v>
                </c:pt>
                <c:pt idx="160">
                  <c:v>-67000</c:v>
                </c:pt>
                <c:pt idx="161">
                  <c:v>-67800</c:v>
                </c:pt>
                <c:pt idx="162">
                  <c:v>-68600</c:v>
                </c:pt>
                <c:pt idx="163">
                  <c:v>-69400</c:v>
                </c:pt>
                <c:pt idx="164">
                  <c:v>-70200</c:v>
                </c:pt>
                <c:pt idx="165">
                  <c:v>-71000</c:v>
                </c:pt>
                <c:pt idx="166">
                  <c:v>-71800</c:v>
                </c:pt>
                <c:pt idx="167">
                  <c:v>-72600</c:v>
                </c:pt>
                <c:pt idx="168">
                  <c:v>-73400</c:v>
                </c:pt>
                <c:pt idx="169">
                  <c:v>-74200</c:v>
                </c:pt>
                <c:pt idx="170">
                  <c:v>-75000</c:v>
                </c:pt>
                <c:pt idx="171">
                  <c:v>-75800</c:v>
                </c:pt>
                <c:pt idx="172">
                  <c:v>-76600</c:v>
                </c:pt>
                <c:pt idx="173">
                  <c:v>-77400</c:v>
                </c:pt>
                <c:pt idx="174">
                  <c:v>-78200</c:v>
                </c:pt>
                <c:pt idx="175">
                  <c:v>-79000</c:v>
                </c:pt>
                <c:pt idx="176">
                  <c:v>-79800</c:v>
                </c:pt>
                <c:pt idx="177">
                  <c:v>-80600</c:v>
                </c:pt>
                <c:pt idx="178">
                  <c:v>-81400</c:v>
                </c:pt>
                <c:pt idx="179">
                  <c:v>-82200</c:v>
                </c:pt>
                <c:pt idx="180">
                  <c:v>-83000</c:v>
                </c:pt>
                <c:pt idx="181">
                  <c:v>-83800</c:v>
                </c:pt>
                <c:pt idx="182">
                  <c:v>-84600</c:v>
                </c:pt>
                <c:pt idx="183">
                  <c:v>-85400</c:v>
                </c:pt>
                <c:pt idx="184">
                  <c:v>-86200</c:v>
                </c:pt>
                <c:pt idx="185">
                  <c:v>-87000</c:v>
                </c:pt>
                <c:pt idx="186">
                  <c:v>-87800</c:v>
                </c:pt>
                <c:pt idx="187">
                  <c:v>-88600</c:v>
                </c:pt>
                <c:pt idx="188">
                  <c:v>-89400</c:v>
                </c:pt>
                <c:pt idx="189">
                  <c:v>-90200</c:v>
                </c:pt>
                <c:pt idx="190">
                  <c:v>-91000</c:v>
                </c:pt>
                <c:pt idx="191">
                  <c:v>-91800</c:v>
                </c:pt>
                <c:pt idx="192">
                  <c:v>-92600</c:v>
                </c:pt>
                <c:pt idx="193">
                  <c:v>-93400</c:v>
                </c:pt>
                <c:pt idx="194">
                  <c:v>-94200</c:v>
                </c:pt>
                <c:pt idx="195">
                  <c:v>-95000</c:v>
                </c:pt>
                <c:pt idx="196">
                  <c:v>-95800</c:v>
                </c:pt>
                <c:pt idx="197">
                  <c:v>-96600</c:v>
                </c:pt>
                <c:pt idx="198">
                  <c:v>-97400</c:v>
                </c:pt>
                <c:pt idx="199">
                  <c:v>-98200</c:v>
                </c:pt>
                <c:pt idx="200">
                  <c:v>-99000</c:v>
                </c:pt>
                <c:pt idx="201">
                  <c:v>-99800</c:v>
                </c:pt>
                <c:pt idx="202">
                  <c:v>-100600</c:v>
                </c:pt>
                <c:pt idx="203">
                  <c:v>-101400</c:v>
                </c:pt>
                <c:pt idx="204">
                  <c:v>-102200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442-4A4F-844C-E30D56C32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134368"/>
        <c:axId val="812120448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'College Loan'!$I$11:$I$215</c15:sqref>
                        </c15:formulaRef>
                      </c:ext>
                    </c:extLst>
                    <c:numCache>
                      <c:formatCode>General</c:formatCode>
                      <c:ptCount val="20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D442-4A4F-844C-E30D56C32D3E}"/>
                  </c:ext>
                </c:extLst>
              </c15:ser>
            </c15:filteredLineSeries>
          </c:ext>
        </c:extLst>
      </c:lineChart>
      <c:catAx>
        <c:axId val="812134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120448"/>
        <c:crosses val="autoZero"/>
        <c:auto val="1"/>
        <c:lblAlgn val="ctr"/>
        <c:lblOffset val="100"/>
        <c:noMultiLvlLbl val="0"/>
      </c:catAx>
      <c:valAx>
        <c:axId val="812120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13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3176</xdr:colOff>
      <xdr:row>6</xdr:row>
      <xdr:rowOff>0</xdr:rowOff>
    </xdr:from>
    <xdr:to>
      <xdr:col>17</xdr:col>
      <xdr:colOff>6351</xdr:colOff>
      <xdr:row>19</xdr:row>
      <xdr:rowOff>3175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2AC5157-496F-4115-429E-9F0434E76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4536</xdr:colOff>
      <xdr:row>2</xdr:row>
      <xdr:rowOff>2072</xdr:rowOff>
    </xdr:from>
    <xdr:to>
      <xdr:col>13</xdr:col>
      <xdr:colOff>9719</xdr:colOff>
      <xdr:row>16</xdr:row>
      <xdr:rowOff>174949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AE6FA1-90A7-0335-8A4D-44F01A677C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4761</xdr:colOff>
      <xdr:row>5</xdr:row>
      <xdr:rowOff>4762</xdr:rowOff>
    </xdr:from>
    <xdr:to>
      <xdr:col>14</xdr:col>
      <xdr:colOff>12700</xdr:colOff>
      <xdr:row>19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098DD6-46DC-DF3E-4C3F-193A66E9F2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7</xdr:row>
      <xdr:rowOff>74612</xdr:rowOff>
    </xdr:from>
    <xdr:to>
      <xdr:col>17</xdr:col>
      <xdr:colOff>3174</xdr:colOff>
      <xdr:row>19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BA1E4D-7FD6-8B7C-DD5A-AF61793EC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2645</xdr:colOff>
      <xdr:row>1</xdr:row>
      <xdr:rowOff>1937</xdr:rowOff>
    </xdr:from>
    <xdr:to>
      <xdr:col>19</xdr:col>
      <xdr:colOff>3529</xdr:colOff>
      <xdr:row>23</xdr:row>
      <xdr:rowOff>3528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66E26A-C4D9-5020-CD60-5795CEC2F4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C00000"/>
      </a:accent2>
      <a:accent3>
        <a:srgbClr val="A5A5A5"/>
      </a:accent3>
      <a:accent4>
        <a:srgbClr val="FFC000"/>
      </a:accent4>
      <a:accent5>
        <a:srgbClr val="7030A0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FC891-ECC9-4611-8F80-1F285D88C8F9}">
  <sheetPr codeName="Sheet1"/>
  <dimension ref="B1:Q20"/>
  <sheetViews>
    <sheetView tabSelected="1" zoomScaleNormal="100" workbookViewId="0">
      <selection activeCell="H13" sqref="H13"/>
    </sheetView>
  </sheetViews>
  <sheetFormatPr defaultRowHeight="14.75" x14ac:dyDescent="0.75"/>
  <cols>
    <col min="1" max="1" width="2.76953125" style="63" customWidth="1"/>
    <col min="2" max="2" width="2.7265625" style="63" customWidth="1"/>
    <col min="3" max="3" width="14.953125" style="63" bestFit="1" customWidth="1"/>
    <col min="4" max="4" width="11.453125" style="63" bestFit="1" customWidth="1"/>
    <col min="5" max="5" width="11.04296875" style="63" bestFit="1" customWidth="1"/>
    <col min="6" max="6" width="12.7265625" style="63" bestFit="1" customWidth="1"/>
    <col min="7" max="7" width="10.453125" style="63" bestFit="1" customWidth="1"/>
    <col min="8" max="8" width="2.90625" style="63" customWidth="1"/>
    <col min="9" max="9" width="11.1328125" style="63" customWidth="1"/>
    <col min="10" max="10" width="11.453125" style="63" bestFit="1" customWidth="1"/>
    <col min="11" max="11" width="4.08984375" style="63" bestFit="1" customWidth="1"/>
    <col min="12" max="12" width="10.453125" style="63" bestFit="1" customWidth="1"/>
    <col min="13" max="13" width="2.36328125" style="63" customWidth="1"/>
    <col min="14" max="14" width="14.6796875" style="63" bestFit="1" customWidth="1"/>
    <col min="15" max="16" width="10.453125" style="63" bestFit="1" customWidth="1"/>
    <col min="17" max="16384" width="8.7265625" style="63"/>
  </cols>
  <sheetData>
    <row r="1" spans="2:17" x14ac:dyDescent="0.75">
      <c r="K1" s="64"/>
    </row>
    <row r="2" spans="2:17" ht="15.5" thickBot="1" x14ac:dyDescent="0.9">
      <c r="B2" s="65" t="s">
        <v>0</v>
      </c>
      <c r="C2" s="65"/>
      <c r="D2" s="142"/>
      <c r="F2" s="66" t="s">
        <v>2</v>
      </c>
      <c r="G2" s="66"/>
      <c r="H2" s="66"/>
      <c r="I2" s="66"/>
      <c r="J2" s="66"/>
      <c r="K2" s="67"/>
      <c r="N2" s="68" t="s">
        <v>67</v>
      </c>
      <c r="O2" s="68"/>
    </row>
    <row r="3" spans="2:17" ht="16.25" thickTop="1" thickBot="1" x14ac:dyDescent="0.9">
      <c r="B3" s="69" t="s">
        <v>1</v>
      </c>
      <c r="C3" s="76"/>
      <c r="D3" s="143">
        <v>50000</v>
      </c>
      <c r="F3" s="70" t="s">
        <v>5</v>
      </c>
      <c r="G3" s="70"/>
      <c r="H3" s="71" t="s">
        <v>6</v>
      </c>
      <c r="I3" s="72"/>
      <c r="J3" s="73"/>
      <c r="K3" s="64"/>
      <c r="N3" s="74" t="s">
        <v>3</v>
      </c>
      <c r="O3" s="74"/>
      <c r="P3" s="137">
        <f>D6</f>
        <v>3125</v>
      </c>
      <c r="Q3" s="137"/>
    </row>
    <row r="4" spans="2:17" ht="15.5" thickTop="1" x14ac:dyDescent="0.75">
      <c r="B4" s="69" t="s">
        <v>75</v>
      </c>
      <c r="C4" s="69"/>
      <c r="D4" s="144">
        <f>-(D3*0.25)</f>
        <v>-12500</v>
      </c>
      <c r="F4" s="75" t="s">
        <v>3</v>
      </c>
      <c r="G4" s="135">
        <f>D6</f>
        <v>3125</v>
      </c>
      <c r="H4" s="76" t="s">
        <v>3</v>
      </c>
      <c r="I4" s="77"/>
      <c r="J4" s="135">
        <f>D5</f>
        <v>37500</v>
      </c>
      <c r="N4" s="78" t="s">
        <v>4</v>
      </c>
      <c r="O4" s="78"/>
      <c r="P4" s="138">
        <f>F9</f>
        <v>1985</v>
      </c>
      <c r="Q4" s="138"/>
    </row>
    <row r="5" spans="2:17" x14ac:dyDescent="0.75">
      <c r="B5" s="69" t="s">
        <v>76</v>
      </c>
      <c r="C5" s="69"/>
      <c r="D5" s="134">
        <f>SUM(D3:D4)</f>
        <v>37500</v>
      </c>
      <c r="F5" s="75" t="s">
        <v>4</v>
      </c>
      <c r="G5" s="135">
        <f>-SUM(D10,F10,F15)</f>
        <v>-1985</v>
      </c>
      <c r="H5" s="76" t="s">
        <v>4</v>
      </c>
      <c r="I5" s="77"/>
      <c r="J5" s="135">
        <f>G5*12</f>
        <v>-23820</v>
      </c>
      <c r="N5" s="79" t="s">
        <v>68</v>
      </c>
      <c r="O5" s="79"/>
      <c r="P5" s="139">
        <f>SUM(J11:J14)</f>
        <v>843.75</v>
      </c>
      <c r="Q5" s="139"/>
    </row>
    <row r="6" spans="2:17" x14ac:dyDescent="0.75">
      <c r="B6" s="69" t="s">
        <v>77</v>
      </c>
      <c r="C6" s="69"/>
      <c r="D6" s="133">
        <f>D5/12</f>
        <v>3125</v>
      </c>
      <c r="F6" s="75" t="s">
        <v>7</v>
      </c>
      <c r="G6" s="136">
        <f>SUM(G4:G5)</f>
        <v>1140</v>
      </c>
      <c r="H6" s="76" t="s">
        <v>7</v>
      </c>
      <c r="I6" s="77"/>
      <c r="J6" s="135">
        <f>SUM(J4:J5)</f>
        <v>13680</v>
      </c>
      <c r="N6" s="80" t="s">
        <v>69</v>
      </c>
      <c r="O6" s="80"/>
      <c r="P6" s="140">
        <f>P3-SUM(P4:P5)</f>
        <v>296.25</v>
      </c>
      <c r="Q6" s="140"/>
    </row>
    <row r="7" spans="2:17" x14ac:dyDescent="0.75">
      <c r="C7" s="81"/>
      <c r="D7" s="82"/>
      <c r="E7" s="81"/>
      <c r="F7" s="83"/>
      <c r="G7" s="84"/>
      <c r="H7" s="85"/>
      <c r="I7" s="81"/>
      <c r="J7" s="86"/>
    </row>
    <row r="8" spans="2:17" x14ac:dyDescent="0.75">
      <c r="F8" s="87"/>
      <c r="G8" s="81"/>
      <c r="H8" s="81"/>
      <c r="I8" s="81"/>
      <c r="J8" s="81"/>
      <c r="K8" s="81"/>
      <c r="L8" s="88"/>
      <c r="M8" s="81"/>
    </row>
    <row r="9" spans="2:17" x14ac:dyDescent="0.75">
      <c r="B9" s="89" t="s">
        <v>30</v>
      </c>
      <c r="C9" s="90" t="s">
        <v>65</v>
      </c>
      <c r="D9" s="90"/>
      <c r="E9" s="90"/>
      <c r="F9" s="132">
        <f>SUM(D10,F10,F15)</f>
        <v>1985</v>
      </c>
      <c r="G9" s="91"/>
      <c r="H9" s="91"/>
      <c r="I9" s="92" t="s">
        <v>33</v>
      </c>
      <c r="J9" s="93"/>
      <c r="K9" s="67"/>
      <c r="L9" s="81"/>
      <c r="M9" s="81"/>
    </row>
    <row r="10" spans="2:17" x14ac:dyDescent="0.75">
      <c r="B10" s="94" t="s">
        <v>23</v>
      </c>
      <c r="C10" s="95"/>
      <c r="D10" s="131">
        <f>SUM(D11:D18)</f>
        <v>1370</v>
      </c>
      <c r="E10" s="96" t="s">
        <v>17</v>
      </c>
      <c r="F10" s="131">
        <f>SUM(F11:F14)</f>
        <v>545</v>
      </c>
      <c r="G10" s="97"/>
      <c r="H10" s="97"/>
      <c r="I10" s="98" t="s">
        <v>31</v>
      </c>
      <c r="J10" s="128">
        <f>G6</f>
        <v>1140</v>
      </c>
      <c r="K10" s="99"/>
    </row>
    <row r="11" spans="2:17" x14ac:dyDescent="0.75">
      <c r="B11" s="76" t="s">
        <v>8</v>
      </c>
      <c r="C11" s="77"/>
      <c r="D11" s="100">
        <v>800</v>
      </c>
      <c r="E11" s="101" t="s">
        <v>14</v>
      </c>
      <c r="F11" s="100">
        <v>300</v>
      </c>
      <c r="G11" s="64"/>
      <c r="H11" s="102" t="s">
        <v>30</v>
      </c>
      <c r="I11" s="103" t="s">
        <v>34</v>
      </c>
      <c r="J11" s="104">
        <v>350</v>
      </c>
      <c r="K11" s="125">
        <f>J11/D6</f>
        <v>0.112</v>
      </c>
      <c r="L11" s="81"/>
      <c r="M11" s="81"/>
      <c r="N11" s="105"/>
    </row>
    <row r="12" spans="2:17" ht="15.5" thickBot="1" x14ac:dyDescent="0.9">
      <c r="B12" s="76" t="s">
        <v>22</v>
      </c>
      <c r="C12" s="77"/>
      <c r="D12" s="100">
        <v>300</v>
      </c>
      <c r="E12" s="101" t="s">
        <v>15</v>
      </c>
      <c r="F12" s="100">
        <v>130</v>
      </c>
      <c r="G12" s="64"/>
      <c r="H12" s="106" t="s">
        <v>30</v>
      </c>
      <c r="I12" s="103" t="s">
        <v>21</v>
      </c>
      <c r="J12" s="104">
        <v>300</v>
      </c>
      <c r="K12" s="126">
        <f>J12/D6</f>
        <v>9.6000000000000002E-2</v>
      </c>
      <c r="L12" s="107" t="s">
        <v>74</v>
      </c>
      <c r="M12" s="81"/>
      <c r="N12" s="105"/>
    </row>
    <row r="13" spans="2:17" ht="16.25" thickTop="1" thickBot="1" x14ac:dyDescent="0.9">
      <c r="B13" s="76" t="s">
        <v>9</v>
      </c>
      <c r="C13" s="77"/>
      <c r="D13" s="100">
        <v>100</v>
      </c>
      <c r="E13" s="101" t="s">
        <v>16</v>
      </c>
      <c r="F13" s="100">
        <v>60</v>
      </c>
      <c r="G13" s="64"/>
      <c r="H13" s="108" t="s">
        <v>30</v>
      </c>
      <c r="I13" s="103" t="s">
        <v>28</v>
      </c>
      <c r="J13" s="147">
        <f>D6*K13</f>
        <v>93.75</v>
      </c>
      <c r="K13" s="148">
        <v>0.03</v>
      </c>
      <c r="L13" s="141" t="str">
        <f ca="1">_xlfn.CONCAT("→ $", INDEX(Retirement!H7:Q7, MATCH(K13, Retirement!H3:Q3, 0)))</f>
        <v>→ $187.5</v>
      </c>
      <c r="M13" s="81"/>
      <c r="N13" s="110"/>
    </row>
    <row r="14" spans="2:17" ht="15.5" thickTop="1" x14ac:dyDescent="0.75">
      <c r="B14" s="111" t="s">
        <v>10</v>
      </c>
      <c r="C14" s="112"/>
      <c r="D14" s="100">
        <v>90</v>
      </c>
      <c r="E14" s="101" t="s">
        <v>18</v>
      </c>
      <c r="F14" s="100">
        <v>55</v>
      </c>
      <c r="G14" s="64"/>
      <c r="H14" s="64"/>
      <c r="I14" s="103" t="s">
        <v>27</v>
      </c>
      <c r="J14" s="104">
        <v>100</v>
      </c>
      <c r="K14" s="127">
        <f>J14/D6</f>
        <v>3.2000000000000001E-2</v>
      </c>
      <c r="L14" s="64"/>
      <c r="M14" s="64"/>
      <c r="N14" s="110"/>
    </row>
    <row r="15" spans="2:17" x14ac:dyDescent="0.75">
      <c r="B15" s="113" t="s">
        <v>19</v>
      </c>
      <c r="C15" s="114"/>
      <c r="D15" s="115">
        <v>15</v>
      </c>
      <c r="E15" s="96" t="s">
        <v>20</v>
      </c>
      <c r="F15" s="130">
        <f>SUM(F16:F18)</f>
        <v>70</v>
      </c>
      <c r="G15" s="116"/>
      <c r="H15" s="116"/>
      <c r="I15" s="117" t="s">
        <v>71</v>
      </c>
      <c r="J15" s="128">
        <f>J10-SUM(J11:J14)</f>
        <v>296.25</v>
      </c>
      <c r="K15" s="99"/>
    </row>
    <row r="16" spans="2:17" x14ac:dyDescent="0.75">
      <c r="B16" s="113" t="s">
        <v>12</v>
      </c>
      <c r="C16" s="114"/>
      <c r="D16" s="100">
        <v>25</v>
      </c>
      <c r="E16" s="109" t="s">
        <v>24</v>
      </c>
      <c r="F16" s="100">
        <v>40</v>
      </c>
      <c r="G16" s="118"/>
      <c r="H16" s="118"/>
      <c r="I16" s="119" t="s">
        <v>72</v>
      </c>
      <c r="J16" s="104">
        <v>100</v>
      </c>
      <c r="K16" s="99"/>
    </row>
    <row r="17" spans="2:11" x14ac:dyDescent="0.75">
      <c r="B17" s="113" t="s">
        <v>11</v>
      </c>
      <c r="C17" s="114"/>
      <c r="D17" s="100">
        <v>15</v>
      </c>
      <c r="E17" s="109" t="s">
        <v>25</v>
      </c>
      <c r="F17" s="100">
        <v>20</v>
      </c>
      <c r="G17" s="118"/>
      <c r="H17" s="118"/>
      <c r="I17" s="119" t="s">
        <v>73</v>
      </c>
      <c r="J17" s="104"/>
      <c r="K17" s="99"/>
    </row>
    <row r="18" spans="2:11" x14ac:dyDescent="0.75">
      <c r="B18" s="113" t="s">
        <v>29</v>
      </c>
      <c r="C18" s="114"/>
      <c r="D18" s="100">
        <v>25</v>
      </c>
      <c r="E18" s="109" t="s">
        <v>26</v>
      </c>
      <c r="F18" s="100">
        <v>10</v>
      </c>
      <c r="G18" s="118"/>
      <c r="H18" s="118"/>
      <c r="I18" s="119" t="s">
        <v>78</v>
      </c>
      <c r="J18" s="104"/>
      <c r="K18" s="99"/>
    </row>
    <row r="19" spans="2:11" x14ac:dyDescent="0.75">
      <c r="B19" s="81"/>
      <c r="C19" s="120"/>
      <c r="D19" s="121"/>
      <c r="E19" s="122"/>
      <c r="F19" s="121"/>
      <c r="G19" s="123"/>
      <c r="H19" s="123"/>
      <c r="I19" s="124" t="s">
        <v>32</v>
      </c>
      <c r="J19" s="129">
        <f>J15-SUM(J16:J18)</f>
        <v>196.25</v>
      </c>
      <c r="K19" s="81"/>
    </row>
    <row r="20" spans="2:11" x14ac:dyDescent="0.75">
      <c r="C20" s="81"/>
      <c r="E20" s="81"/>
      <c r="G20" s="81"/>
      <c r="H20" s="81"/>
    </row>
  </sheetData>
  <sheetProtection sheet="1" formatCells="0" formatColumns="0" formatRows="0" insertColumns="0" insertRows="0" insertHyperlinks="0" deleteColumns="0" deleteRows="0" sort="0" autoFilter="0" pivotTables="0"/>
  <mergeCells count="31">
    <mergeCell ref="N4:O4"/>
    <mergeCell ref="N5:O5"/>
    <mergeCell ref="N6:O6"/>
    <mergeCell ref="B2:D2"/>
    <mergeCell ref="B3:C3"/>
    <mergeCell ref="B4:C4"/>
    <mergeCell ref="B5:C5"/>
    <mergeCell ref="B6:C6"/>
    <mergeCell ref="B15:C15"/>
    <mergeCell ref="B16:C16"/>
    <mergeCell ref="B17:C17"/>
    <mergeCell ref="B18:C18"/>
    <mergeCell ref="N2:O2"/>
    <mergeCell ref="P3:Q3"/>
    <mergeCell ref="P4:Q4"/>
    <mergeCell ref="P5:Q5"/>
    <mergeCell ref="P6:Q6"/>
    <mergeCell ref="N3:O3"/>
    <mergeCell ref="H4:I4"/>
    <mergeCell ref="H5:I5"/>
    <mergeCell ref="H6:I6"/>
    <mergeCell ref="H3:J3"/>
    <mergeCell ref="I9:J9"/>
    <mergeCell ref="C9:E9"/>
    <mergeCell ref="B10:C10"/>
    <mergeCell ref="B11:C11"/>
    <mergeCell ref="B12:C12"/>
    <mergeCell ref="B13:C13"/>
    <mergeCell ref="B14:C14"/>
    <mergeCell ref="F2:J2"/>
    <mergeCell ref="F3:G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0C46C-4537-4070-9D51-CFBA0018D047}">
  <sheetPr codeName="Sheet6"/>
  <dimension ref="B2:G23"/>
  <sheetViews>
    <sheetView zoomScale="98" workbookViewId="0">
      <selection activeCell="B2" sqref="B2"/>
    </sheetView>
  </sheetViews>
  <sheetFormatPr defaultRowHeight="14.75" x14ac:dyDescent="0.75"/>
  <cols>
    <col min="1" max="1" width="3.90625" customWidth="1"/>
    <col min="2" max="2" width="3.36328125" customWidth="1"/>
    <col min="3" max="3" width="11.5" bestFit="1" customWidth="1"/>
    <col min="4" max="4" width="10.04296875" bestFit="1" customWidth="1"/>
    <col min="5" max="5" width="8.86328125" bestFit="1" customWidth="1"/>
    <col min="6" max="6" width="12.90625" bestFit="1" customWidth="1"/>
    <col min="7" max="7" width="10.04296875" bestFit="1" customWidth="1"/>
  </cols>
  <sheetData>
    <row r="2" spans="2:7" ht="18.5" x14ac:dyDescent="0.9">
      <c r="B2" s="23" t="s">
        <v>42</v>
      </c>
      <c r="C2" s="39" t="s">
        <v>66</v>
      </c>
      <c r="D2" s="40"/>
      <c r="E2" s="41"/>
      <c r="F2" s="42"/>
    </row>
    <row r="3" spans="2:7" x14ac:dyDescent="0.75">
      <c r="C3" s="8" t="s">
        <v>4</v>
      </c>
      <c r="D3" s="8"/>
      <c r="E3" s="6">
        <f>Overview!F9</f>
        <v>1985</v>
      </c>
      <c r="F3" s="4"/>
    </row>
    <row r="5" spans="2:7" x14ac:dyDescent="0.75">
      <c r="C5" s="43" t="s">
        <v>8</v>
      </c>
      <c r="D5" s="45">
        <f>Overview!$D11</f>
        <v>800</v>
      </c>
      <c r="F5" s="1" t="s">
        <v>23</v>
      </c>
      <c r="G5" s="2">
        <f>Overview!D10</f>
        <v>1370</v>
      </c>
    </row>
    <row r="6" spans="2:7" x14ac:dyDescent="0.75">
      <c r="C6" s="43" t="s">
        <v>22</v>
      </c>
      <c r="D6" s="45">
        <f>Overview!$D12</f>
        <v>300</v>
      </c>
      <c r="F6" s="1" t="s">
        <v>13</v>
      </c>
      <c r="G6" s="2">
        <f>Overview!F10</f>
        <v>545</v>
      </c>
    </row>
    <row r="7" spans="2:7" x14ac:dyDescent="0.75">
      <c r="C7" s="43" t="s">
        <v>9</v>
      </c>
      <c r="D7" s="45">
        <f>Overview!$D13</f>
        <v>100</v>
      </c>
      <c r="F7" s="1" t="s">
        <v>20</v>
      </c>
      <c r="G7" s="2">
        <f>Overview!F15</f>
        <v>70</v>
      </c>
    </row>
    <row r="8" spans="2:7" x14ac:dyDescent="0.75">
      <c r="C8" s="43" t="s">
        <v>10</v>
      </c>
      <c r="D8" s="45">
        <f>Overview!$D14</f>
        <v>90</v>
      </c>
      <c r="F8" s="1" t="s">
        <v>33</v>
      </c>
      <c r="G8" s="2">
        <f>SUM(Overview!J11:J14)</f>
        <v>843.75</v>
      </c>
    </row>
    <row r="9" spans="2:7" x14ac:dyDescent="0.75">
      <c r="C9" s="44" t="s">
        <v>19</v>
      </c>
      <c r="D9" s="45">
        <f>Overview!$D15</f>
        <v>15</v>
      </c>
    </row>
    <row r="10" spans="2:7" x14ac:dyDescent="0.75">
      <c r="C10" s="44" t="s">
        <v>12</v>
      </c>
      <c r="D10" s="45">
        <f>Overview!$D16</f>
        <v>25</v>
      </c>
    </row>
    <row r="11" spans="2:7" x14ac:dyDescent="0.75">
      <c r="C11" s="44" t="s">
        <v>11</v>
      </c>
      <c r="D11" s="45">
        <f>Overview!$D17</f>
        <v>15</v>
      </c>
    </row>
    <row r="12" spans="2:7" x14ac:dyDescent="0.75">
      <c r="C12" s="44" t="s">
        <v>29</v>
      </c>
      <c r="D12" s="45">
        <f>Overview!$D18</f>
        <v>25</v>
      </c>
    </row>
    <row r="13" spans="2:7" x14ac:dyDescent="0.75">
      <c r="C13" s="43" t="s">
        <v>14</v>
      </c>
      <c r="D13" s="45">
        <f>Overview!$F11</f>
        <v>300</v>
      </c>
    </row>
    <row r="14" spans="2:7" x14ac:dyDescent="0.75">
      <c r="C14" s="43" t="s">
        <v>15</v>
      </c>
      <c r="D14" s="45">
        <f>Overview!$F12</f>
        <v>130</v>
      </c>
    </row>
    <row r="15" spans="2:7" x14ac:dyDescent="0.75">
      <c r="C15" s="43" t="s">
        <v>16</v>
      </c>
      <c r="D15" s="45">
        <f>Overview!$F13</f>
        <v>60</v>
      </c>
    </row>
    <row r="16" spans="2:7" x14ac:dyDescent="0.75">
      <c r="C16" s="43" t="s">
        <v>18</v>
      </c>
      <c r="D16" s="45">
        <f>Overview!$F14</f>
        <v>55</v>
      </c>
    </row>
    <row r="17" spans="3:4" x14ac:dyDescent="0.75">
      <c r="C17" s="3" t="s">
        <v>24</v>
      </c>
      <c r="D17" s="2">
        <f>Overview!$F16</f>
        <v>40</v>
      </c>
    </row>
    <row r="18" spans="3:4" x14ac:dyDescent="0.75">
      <c r="C18" s="3" t="s">
        <v>25</v>
      </c>
      <c r="D18" s="2">
        <f>Overview!$F17</f>
        <v>20</v>
      </c>
    </row>
    <row r="19" spans="3:4" x14ac:dyDescent="0.75">
      <c r="C19" s="3" t="s">
        <v>26</v>
      </c>
      <c r="D19" s="2">
        <f>Overview!$F18</f>
        <v>10</v>
      </c>
    </row>
    <row r="20" spans="3:4" x14ac:dyDescent="0.75">
      <c r="C20" s="46" t="s">
        <v>34</v>
      </c>
      <c r="D20" s="2">
        <f>Overview!$J11</f>
        <v>350</v>
      </c>
    </row>
    <row r="21" spans="3:4" x14ac:dyDescent="0.75">
      <c r="C21" s="46" t="s">
        <v>21</v>
      </c>
      <c r="D21" s="2">
        <f>Overview!$J12</f>
        <v>300</v>
      </c>
    </row>
    <row r="22" spans="3:4" x14ac:dyDescent="0.75">
      <c r="C22" s="46" t="s">
        <v>28</v>
      </c>
      <c r="D22" s="2">
        <f>Overview!$J13</f>
        <v>93.75</v>
      </c>
    </row>
    <row r="23" spans="3:4" x14ac:dyDescent="0.75">
      <c r="C23" s="46" t="s">
        <v>27</v>
      </c>
      <c r="D23" s="2">
        <f>Overview!$J14</f>
        <v>100</v>
      </c>
    </row>
  </sheetData>
  <sheetProtection sheet="1" formatCells="0" formatColumns="0" formatRows="0" insertColumns="0" insertRows="0" insertHyperlinks="0" deleteColumns="0" deleteRows="0" sort="0" autoFilter="0" pivotTables="0"/>
  <mergeCells count="2">
    <mergeCell ref="C2:E2"/>
    <mergeCell ref="C3:D3"/>
  </mergeCells>
  <conditionalFormatting sqref="D5:D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{B06DEE1A-3A49-4FC1-B70E-6A319FA840D2}</x14:id>
        </ext>
      </extLst>
    </cfRule>
  </conditionalFormatting>
  <conditionalFormatting sqref="G5:G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{420308CF-53C4-47EA-9CD3-5B9A146DC844}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6DEE1A-3A49-4FC1-B70E-6A319FA840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D5:D23</xm:sqref>
        </x14:conditionalFormatting>
        <x14:conditionalFormatting xmlns:xm="http://schemas.microsoft.com/office/excel/2006/main">
          <x14:cfRule type="dataBar" id="{420308CF-53C4-47EA-9CD3-5B9A146DC8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219CE-2F70-4396-83BB-476A4FD9F4B6}">
  <sheetPr codeName="Sheet3"/>
  <dimension ref="B2:L45"/>
  <sheetViews>
    <sheetView workbookViewId="0">
      <selection activeCell="B2" sqref="B2"/>
    </sheetView>
  </sheetViews>
  <sheetFormatPr defaultRowHeight="14.75" x14ac:dyDescent="0.75"/>
  <cols>
    <col min="1" max="1" width="2.453125" customWidth="1"/>
    <col min="2" max="2" width="4" customWidth="1"/>
    <col min="3" max="3" width="15.58984375" bestFit="1" customWidth="1"/>
    <col min="4" max="5" width="9.6796875" bestFit="1" customWidth="1"/>
    <col min="6" max="6" width="9.7265625" bestFit="1" customWidth="1"/>
    <col min="7" max="8" width="9.7265625" customWidth="1"/>
    <col min="9" max="10" width="9.6796875" bestFit="1" customWidth="1"/>
    <col min="11" max="11" width="10.6796875" bestFit="1" customWidth="1"/>
    <col min="12" max="12" width="9.6796875" bestFit="1" customWidth="1"/>
  </cols>
  <sheetData>
    <row r="2" spans="2:12" ht="18.5" x14ac:dyDescent="0.9">
      <c r="B2" s="23" t="s">
        <v>42</v>
      </c>
      <c r="C2" s="20" t="s">
        <v>36</v>
      </c>
      <c r="D2" s="21"/>
      <c r="F2" s="1" t="s">
        <v>21</v>
      </c>
      <c r="G2" s="6">
        <v>25000</v>
      </c>
      <c r="H2" s="6">
        <v>35000</v>
      </c>
      <c r="I2" s="6">
        <v>45000</v>
      </c>
      <c r="J2" s="6">
        <v>55000</v>
      </c>
      <c r="K2" s="6">
        <v>65000</v>
      </c>
      <c r="L2" s="6">
        <v>75000</v>
      </c>
    </row>
    <row r="3" spans="2:12" x14ac:dyDescent="0.75">
      <c r="C3" s="1" t="s">
        <v>35</v>
      </c>
      <c r="D3" s="48">
        <f>Overview!J12</f>
        <v>300</v>
      </c>
      <c r="F3" s="1" t="s">
        <v>40</v>
      </c>
      <c r="G3" s="1">
        <f t="array" ref="G3">INDEX($C$6:$C$100, MATCH(TRUE, $D$6:$D$100&gt;=G$2, 0))</f>
        <v>84</v>
      </c>
      <c r="H3" s="1">
        <f t="array" ref="H3">INDEX($C$6:$C$100, MATCH(TRUE, $D$6:$D$100&gt;=H$2, 0))</f>
        <v>117</v>
      </c>
      <c r="I3" s="1" t="e">
        <f t="array" ref="I3">INDEX($C$6:$C$100, MATCH(TRUE, $D$6:$D$100&gt;=I$2, 0))</f>
        <v>#N/A</v>
      </c>
      <c r="J3" s="1" t="e">
        <f t="array" ref="J3">INDEX($C$6:$C$100, MATCH(TRUE, $D$6:$D$100&gt;=J$2, 0))</f>
        <v>#N/A</v>
      </c>
      <c r="K3" s="1" t="e">
        <f t="array" ref="K3">INDEX($C$6:$C$100, MATCH(TRUE, $D$6:$D$100&gt;=K$2, 0))</f>
        <v>#N/A</v>
      </c>
      <c r="L3" s="1" t="e">
        <f t="array" ref="L3">INDEX($C$6:$C$100, MATCH(TRUE, $D$6:$D$100&gt;=L$2, 0))</f>
        <v>#N/A</v>
      </c>
    </row>
    <row r="4" spans="2:12" x14ac:dyDescent="0.75">
      <c r="F4" s="1" t="s">
        <v>41</v>
      </c>
      <c r="G4" s="1">
        <f>G$3/12</f>
        <v>7</v>
      </c>
      <c r="H4" s="1">
        <f>H$3/12</f>
        <v>9.75</v>
      </c>
      <c r="I4" s="1" t="e">
        <f>I$3/12</f>
        <v>#N/A</v>
      </c>
      <c r="J4" s="1" t="e">
        <f>J$3/12</f>
        <v>#N/A</v>
      </c>
      <c r="K4" s="1" t="e">
        <f>K$3/12</f>
        <v>#N/A</v>
      </c>
      <c r="L4" s="1" t="e">
        <f>L$3/12</f>
        <v>#N/A</v>
      </c>
    </row>
    <row r="5" spans="2:12" x14ac:dyDescent="0.75">
      <c r="C5" s="7" t="s">
        <v>39</v>
      </c>
      <c r="D5" s="11" t="s">
        <v>37</v>
      </c>
    </row>
    <row r="6" spans="2:12" x14ac:dyDescent="0.75">
      <c r="C6" s="17">
        <v>3</v>
      </c>
      <c r="D6" s="9">
        <f>$D$3*$C6</f>
        <v>900</v>
      </c>
    </row>
    <row r="7" spans="2:12" x14ac:dyDescent="0.75">
      <c r="C7" s="18">
        <v>6</v>
      </c>
      <c r="D7" s="19">
        <f>$D$3*$C7</f>
        <v>1800</v>
      </c>
    </row>
    <row r="8" spans="2:12" x14ac:dyDescent="0.75">
      <c r="C8" s="18">
        <v>9</v>
      </c>
      <c r="D8" s="19">
        <f>$D$3*$C8</f>
        <v>2700</v>
      </c>
    </row>
    <row r="9" spans="2:12" x14ac:dyDescent="0.75">
      <c r="C9" s="15">
        <v>12</v>
      </c>
      <c r="D9" s="16">
        <f>$D$3*$C9</f>
        <v>3600</v>
      </c>
    </row>
    <row r="10" spans="2:12" x14ac:dyDescent="0.75">
      <c r="C10" s="17">
        <v>15</v>
      </c>
      <c r="D10" s="9">
        <f>$D$3*$C10</f>
        <v>4500</v>
      </c>
    </row>
    <row r="11" spans="2:12" x14ac:dyDescent="0.75">
      <c r="C11" s="18">
        <v>18</v>
      </c>
      <c r="D11" s="19">
        <f>$D$3*$C11</f>
        <v>5400</v>
      </c>
    </row>
    <row r="12" spans="2:12" x14ac:dyDescent="0.75">
      <c r="C12" s="18">
        <v>21</v>
      </c>
      <c r="D12" s="19">
        <f>$D$3*$C12</f>
        <v>6300</v>
      </c>
    </row>
    <row r="13" spans="2:12" x14ac:dyDescent="0.75">
      <c r="C13" s="15">
        <v>24</v>
      </c>
      <c r="D13" s="16">
        <f>$D$3*$C13</f>
        <v>7200</v>
      </c>
    </row>
    <row r="14" spans="2:12" x14ac:dyDescent="0.75">
      <c r="C14" s="17">
        <v>27</v>
      </c>
      <c r="D14" s="9">
        <f>$D$3*$C14</f>
        <v>8100</v>
      </c>
    </row>
    <row r="15" spans="2:12" x14ac:dyDescent="0.75">
      <c r="C15" s="18">
        <v>30</v>
      </c>
      <c r="D15" s="19">
        <f>$D$3*$C15</f>
        <v>9000</v>
      </c>
    </row>
    <row r="16" spans="2:12" x14ac:dyDescent="0.75">
      <c r="C16" s="18">
        <v>33</v>
      </c>
      <c r="D16" s="19">
        <f>$D$3*$C16</f>
        <v>9900</v>
      </c>
    </row>
    <row r="17" spans="3:4" x14ac:dyDescent="0.75">
      <c r="C17" s="18">
        <v>36</v>
      </c>
      <c r="D17" s="19">
        <f>$D$3*$C17</f>
        <v>10800</v>
      </c>
    </row>
    <row r="18" spans="3:4" x14ac:dyDescent="0.75">
      <c r="C18" s="17">
        <v>39</v>
      </c>
      <c r="D18" s="9">
        <f>$D$3*$C18</f>
        <v>11700</v>
      </c>
    </row>
    <row r="19" spans="3:4" x14ac:dyDescent="0.75">
      <c r="C19" s="18">
        <v>42</v>
      </c>
      <c r="D19" s="19">
        <f>$D$3*$C19</f>
        <v>12600</v>
      </c>
    </row>
    <row r="20" spans="3:4" x14ac:dyDescent="0.75">
      <c r="C20" s="18">
        <v>45</v>
      </c>
      <c r="D20" s="19">
        <f>$D$3*$C20</f>
        <v>13500</v>
      </c>
    </row>
    <row r="21" spans="3:4" x14ac:dyDescent="0.75">
      <c r="C21" s="15">
        <v>48</v>
      </c>
      <c r="D21" s="16">
        <f>$D$3*$C21</f>
        <v>14400</v>
      </c>
    </row>
    <row r="22" spans="3:4" x14ac:dyDescent="0.75">
      <c r="C22" s="17">
        <v>51</v>
      </c>
      <c r="D22" s="9">
        <f>$D$3*$C22</f>
        <v>15300</v>
      </c>
    </row>
    <row r="23" spans="3:4" x14ac:dyDescent="0.75">
      <c r="C23" s="18">
        <v>54</v>
      </c>
      <c r="D23" s="19">
        <f>$D$3*$C23</f>
        <v>16200</v>
      </c>
    </row>
    <row r="24" spans="3:4" x14ac:dyDescent="0.75">
      <c r="C24" s="18">
        <v>57</v>
      </c>
      <c r="D24" s="19">
        <f>$D$3*$C24</f>
        <v>17100</v>
      </c>
    </row>
    <row r="25" spans="3:4" x14ac:dyDescent="0.75">
      <c r="C25" s="15">
        <v>60</v>
      </c>
      <c r="D25" s="16">
        <f>$D$3*$C25</f>
        <v>18000</v>
      </c>
    </row>
    <row r="26" spans="3:4" x14ac:dyDescent="0.75">
      <c r="C26" s="17">
        <v>63</v>
      </c>
      <c r="D26" s="9">
        <f>$D$3*$C26</f>
        <v>18900</v>
      </c>
    </row>
    <row r="27" spans="3:4" x14ac:dyDescent="0.75">
      <c r="C27" s="18">
        <v>66</v>
      </c>
      <c r="D27" s="19">
        <f>$D$3*$C27</f>
        <v>19800</v>
      </c>
    </row>
    <row r="28" spans="3:4" x14ac:dyDescent="0.75">
      <c r="C28" s="18">
        <v>69</v>
      </c>
      <c r="D28" s="19">
        <f>$D$3*$C28</f>
        <v>20700</v>
      </c>
    </row>
    <row r="29" spans="3:4" x14ac:dyDescent="0.75">
      <c r="C29" s="15">
        <v>72</v>
      </c>
      <c r="D29" s="16">
        <f>$D$3*$C29</f>
        <v>21600</v>
      </c>
    </row>
    <row r="30" spans="3:4" x14ac:dyDescent="0.75">
      <c r="C30" s="17">
        <v>75</v>
      </c>
      <c r="D30" s="9">
        <f>$D$3*$C30</f>
        <v>22500</v>
      </c>
    </row>
    <row r="31" spans="3:4" x14ac:dyDescent="0.75">
      <c r="C31" s="18">
        <v>78</v>
      </c>
      <c r="D31" s="19">
        <f>$D$3*$C31</f>
        <v>23400</v>
      </c>
    </row>
    <row r="32" spans="3:4" x14ac:dyDescent="0.75">
      <c r="C32" s="18">
        <v>81</v>
      </c>
      <c r="D32" s="19">
        <f>$D$3*$C32</f>
        <v>24300</v>
      </c>
    </row>
    <row r="33" spans="3:4" x14ac:dyDescent="0.75">
      <c r="C33" s="15">
        <v>84</v>
      </c>
      <c r="D33" s="16">
        <f>$D$3*$C33</f>
        <v>25200</v>
      </c>
    </row>
    <row r="34" spans="3:4" x14ac:dyDescent="0.75">
      <c r="C34" s="17">
        <v>87</v>
      </c>
      <c r="D34" s="9">
        <f>$D$3*$C34</f>
        <v>26100</v>
      </c>
    </row>
    <row r="35" spans="3:4" x14ac:dyDescent="0.75">
      <c r="C35" s="18">
        <v>90</v>
      </c>
      <c r="D35" s="19">
        <f>$D$3*$C35</f>
        <v>27000</v>
      </c>
    </row>
    <row r="36" spans="3:4" x14ac:dyDescent="0.75">
      <c r="C36" s="18">
        <v>93</v>
      </c>
      <c r="D36" s="19">
        <f>$D$3*$C36</f>
        <v>27900</v>
      </c>
    </row>
    <row r="37" spans="3:4" x14ac:dyDescent="0.75">
      <c r="C37" s="15">
        <v>96</v>
      </c>
      <c r="D37" s="16">
        <f>$D$3*$C37</f>
        <v>28800</v>
      </c>
    </row>
    <row r="38" spans="3:4" x14ac:dyDescent="0.75">
      <c r="C38" s="17">
        <v>99</v>
      </c>
      <c r="D38" s="9">
        <f>$D$3*$C38</f>
        <v>29700</v>
      </c>
    </row>
    <row r="39" spans="3:4" x14ac:dyDescent="0.75">
      <c r="C39" s="18">
        <v>102</v>
      </c>
      <c r="D39" s="19">
        <f>$D$3*$C39</f>
        <v>30600</v>
      </c>
    </row>
    <row r="40" spans="3:4" x14ac:dyDescent="0.75">
      <c r="C40" s="18">
        <v>105</v>
      </c>
      <c r="D40" s="19">
        <f>$D$3*$C40</f>
        <v>31500</v>
      </c>
    </row>
    <row r="41" spans="3:4" x14ac:dyDescent="0.75">
      <c r="C41" s="15">
        <v>108</v>
      </c>
      <c r="D41" s="16">
        <f>$D$3*$C41</f>
        <v>32400</v>
      </c>
    </row>
    <row r="42" spans="3:4" x14ac:dyDescent="0.75">
      <c r="C42" s="17">
        <v>111</v>
      </c>
      <c r="D42" s="9">
        <f>$D$3*$C42</f>
        <v>33300</v>
      </c>
    </row>
    <row r="43" spans="3:4" x14ac:dyDescent="0.75">
      <c r="C43" s="18">
        <v>114</v>
      </c>
      <c r="D43" s="19">
        <f>$D$3*$C43</f>
        <v>34200</v>
      </c>
    </row>
    <row r="44" spans="3:4" x14ac:dyDescent="0.75">
      <c r="C44" s="18">
        <v>117</v>
      </c>
      <c r="D44" s="19">
        <f>$D$3*$C44</f>
        <v>35100</v>
      </c>
    </row>
    <row r="45" spans="3:4" x14ac:dyDescent="0.75">
      <c r="C45" s="15">
        <v>120</v>
      </c>
      <c r="D45" s="16">
        <f>$D$3*$C45</f>
        <v>36000</v>
      </c>
    </row>
  </sheetData>
  <sheetProtection sheet="1" formatCells="0" formatColumns="0" formatRows="0" insertColumns="0" insertRows="0" insertHyperlinks="0" deleteColumns="0" deleteRows="0" sort="0" autoFilter="0" pivotTables="0"/>
  <mergeCells count="1">
    <mergeCell ref="C2:D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7644-1140-44EC-A03E-63E974DBC9A7}">
  <sheetPr codeName="Sheet4"/>
  <dimension ref="B2:Q10"/>
  <sheetViews>
    <sheetView workbookViewId="0">
      <selection activeCell="B2" sqref="B2"/>
    </sheetView>
  </sheetViews>
  <sheetFormatPr defaultRowHeight="14.75" x14ac:dyDescent="0.75"/>
  <cols>
    <col min="1" max="1" width="2.5" customWidth="1"/>
    <col min="2" max="2" width="3.86328125" customWidth="1"/>
    <col min="3" max="3" width="16.86328125" customWidth="1"/>
    <col min="4" max="4" width="6.953125" customWidth="1"/>
    <col min="7" max="7" width="17.81640625" bestFit="1" customWidth="1"/>
    <col min="8" max="8" width="9.86328125" bestFit="1" customWidth="1"/>
  </cols>
  <sheetData>
    <row r="2" spans="2:17" ht="18.5" x14ac:dyDescent="0.9">
      <c r="B2" s="22" t="s">
        <v>42</v>
      </c>
      <c r="C2" s="24" t="s">
        <v>43</v>
      </c>
      <c r="D2" s="25"/>
      <c r="E2" s="26"/>
      <c r="G2" s="31" t="s">
        <v>45</v>
      </c>
    </row>
    <row r="3" spans="2:17" ht="15.5" thickBot="1" x14ac:dyDescent="0.9">
      <c r="C3" s="14" t="s">
        <v>35</v>
      </c>
      <c r="D3" s="32">
        <f>Overview!J13</f>
        <v>93.75</v>
      </c>
      <c r="E3" s="32"/>
      <c r="G3" s="13" t="s">
        <v>46</v>
      </c>
      <c r="H3" s="145">
        <v>0.01</v>
      </c>
      <c r="I3" s="145">
        <v>0.02</v>
      </c>
      <c r="J3" s="145">
        <v>0.03</v>
      </c>
      <c r="K3" s="145">
        <v>0.04</v>
      </c>
      <c r="L3" s="145">
        <v>0.05</v>
      </c>
      <c r="M3" s="145">
        <v>0.06</v>
      </c>
      <c r="N3" s="145">
        <v>7.0000000000000007E-2</v>
      </c>
      <c r="O3" s="145">
        <v>0.08</v>
      </c>
      <c r="P3" s="145">
        <v>0.09</v>
      </c>
      <c r="Q3" s="146">
        <v>0.1</v>
      </c>
    </row>
    <row r="4" spans="2:17" ht="16.25" thickTop="1" thickBot="1" x14ac:dyDescent="0.9">
      <c r="C4" s="1" t="s">
        <v>44</v>
      </c>
      <c r="D4" s="29">
        <f>D3/Overview!D6</f>
        <v>0.03</v>
      </c>
      <c r="E4" s="29"/>
      <c r="G4" s="18" t="s">
        <v>47</v>
      </c>
      <c r="H4" s="149">
        <v>1</v>
      </c>
      <c r="I4" s="149">
        <v>1</v>
      </c>
      <c r="J4" s="149">
        <v>1</v>
      </c>
      <c r="K4" s="149">
        <v>0.5</v>
      </c>
      <c r="L4" s="149">
        <v>0.5</v>
      </c>
      <c r="M4" s="149">
        <v>0</v>
      </c>
      <c r="N4" s="149">
        <v>0</v>
      </c>
      <c r="O4" s="149">
        <v>0</v>
      </c>
      <c r="P4" s="149">
        <v>0</v>
      </c>
      <c r="Q4" s="149">
        <v>0</v>
      </c>
    </row>
    <row r="5" spans="2:17" ht="15.5" thickTop="1" x14ac:dyDescent="0.75">
      <c r="G5" s="30" t="s">
        <v>48</v>
      </c>
      <c r="H5" s="5">
        <f>(H$3)*Overview!$D$6</f>
        <v>31.25</v>
      </c>
      <c r="I5" s="5">
        <f>(I$3)*Overview!$D$6</f>
        <v>62.5</v>
      </c>
      <c r="J5" s="5">
        <f>(J$3)*Overview!$D$6</f>
        <v>93.75</v>
      </c>
      <c r="K5" s="5">
        <f>(K$3)*Overview!$D$6</f>
        <v>125</v>
      </c>
      <c r="L5" s="5">
        <f>(L$3)*Overview!$D$6</f>
        <v>156.25</v>
      </c>
      <c r="M5" s="5">
        <f>(M$3)*Overview!$D$6</f>
        <v>187.5</v>
      </c>
      <c r="N5" s="5">
        <f>(N$3)*Overview!$D$6</f>
        <v>218.75000000000003</v>
      </c>
      <c r="O5" s="5">
        <f>(O$3)*Overview!$D$6</f>
        <v>250</v>
      </c>
      <c r="P5" s="5">
        <f>(P$3)*Overview!$D$6</f>
        <v>281.25</v>
      </c>
      <c r="Q5" s="27">
        <f>(Q$3)*Overview!$D$6</f>
        <v>312.5</v>
      </c>
    </row>
    <row r="6" spans="2:17" x14ac:dyDescent="0.75">
      <c r="G6" s="30" t="s">
        <v>49</v>
      </c>
      <c r="H6" s="5">
        <f t="shared" ref="H6:L6" ca="1" si="0">IF(H4=0, INDIRECT($H$10), IF(H4=1, H5, INDIRECT($H$9) + (H$5-INDIRECT($H$9))*H4))</f>
        <v>31.25</v>
      </c>
      <c r="I6" s="5">
        <f t="shared" ca="1" si="0"/>
        <v>62.5</v>
      </c>
      <c r="J6" s="5">
        <f t="shared" ca="1" si="0"/>
        <v>93.75</v>
      </c>
      <c r="K6" s="5">
        <f t="shared" ca="1" si="0"/>
        <v>109.375</v>
      </c>
      <c r="L6" s="5">
        <f t="shared" ca="1" si="0"/>
        <v>125</v>
      </c>
      <c r="M6" s="5">
        <f ca="1">IF(M4=0, INDIRECT($H$10), IF(M4=1, M5, INDIRECT($H$9) + (M$5-INDIRECT($H$9))*M4))</f>
        <v>125</v>
      </c>
      <c r="N6" s="5">
        <f t="shared" ref="N6" ca="1" si="1">IF(N4=0, INDIRECT($H$10), IF(N4=1, N5, INDIRECT($H$9) + (N$5-INDIRECT($H$9))*N4))</f>
        <v>125</v>
      </c>
      <c r="O6" s="5">
        <f t="shared" ref="O6" ca="1" si="2">IF(O4=0, INDIRECT($H$10), IF(O4=1, O5, INDIRECT($H$9) + (O$5-INDIRECT($H$9))*O4))</f>
        <v>125</v>
      </c>
      <c r="P6" s="5">
        <f t="shared" ref="P6" ca="1" si="3">IF(P4=0, INDIRECT($H$10), IF(P4=1, P5, INDIRECT($H$9) + (P$5-INDIRECT($H$9))*P4))</f>
        <v>125</v>
      </c>
      <c r="Q6" s="28">
        <f t="shared" ref="Q6" ca="1" si="4">IF(Q4=0, INDIRECT($H$10), IF(Q4=1, Q5, INDIRECT($H$9) + (Q$5-INDIRECT($H$9))*Q4))</f>
        <v>125</v>
      </c>
    </row>
    <row r="7" spans="2:17" x14ac:dyDescent="0.75">
      <c r="G7" s="1" t="s">
        <v>50</v>
      </c>
      <c r="H7" s="35">
        <f ca="1">SUM(H$5:H$6)</f>
        <v>62.5</v>
      </c>
      <c r="I7" s="35">
        <f t="shared" ref="I7:Q7" ca="1" si="5">SUM(I$5:I$6)</f>
        <v>125</v>
      </c>
      <c r="J7" s="35">
        <f t="shared" ca="1" si="5"/>
        <v>187.5</v>
      </c>
      <c r="K7" s="35">
        <f t="shared" ca="1" si="5"/>
        <v>234.375</v>
      </c>
      <c r="L7" s="35">
        <f ca="1">SUM($L5:$L6)</f>
        <v>281.25</v>
      </c>
      <c r="M7" s="35">
        <f ca="1">SUM(M$5:M$6)</f>
        <v>312.5</v>
      </c>
      <c r="N7" s="35">
        <f t="shared" ca="1" si="5"/>
        <v>343.75</v>
      </c>
      <c r="O7" s="35">
        <f t="shared" ca="1" si="5"/>
        <v>375</v>
      </c>
      <c r="P7" s="35">
        <f t="shared" ca="1" si="5"/>
        <v>406.25</v>
      </c>
      <c r="Q7" s="36">
        <f t="shared" ca="1" si="5"/>
        <v>437.5</v>
      </c>
    </row>
    <row r="9" spans="2:17" x14ac:dyDescent="0.75">
      <c r="H9" t="str">
        <f t="array" ref="H9">ADDRESS(5, MAX((H4:P4=1)*(COLUMN(H4:P4))))</f>
        <v>$J$5</v>
      </c>
    </row>
    <row r="10" spans="2:17" x14ac:dyDescent="0.75">
      <c r="H10" t="str">
        <f t="array" ref="H10">ADDRESS(6, MAX((H4:P4&gt;0)*(COLUMN(H4:P4))))</f>
        <v>$L$6</v>
      </c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C2:E2"/>
    <mergeCell ref="D3:E3"/>
    <mergeCell ref="D4:E4"/>
  </mergeCells>
  <pageMargins left="0.7" right="0.7" top="0.75" bottom="0.75" header="0.3" footer="0.3"/>
  <ignoredErrors>
    <ignoredError sqref="L7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F44F5-736F-4076-B04B-E31EE1625721}">
  <sheetPr codeName="Sheet5"/>
  <dimension ref="B2:I322"/>
  <sheetViews>
    <sheetView topLeftCell="A2" zoomScale="90" zoomScaleNormal="90" workbookViewId="0">
      <selection activeCell="B2" sqref="B2"/>
    </sheetView>
  </sheetViews>
  <sheetFormatPr defaultRowHeight="14.75" x14ac:dyDescent="0.75"/>
  <cols>
    <col min="1" max="1" width="2.86328125" customWidth="1"/>
    <col min="2" max="2" width="3.76953125" customWidth="1"/>
    <col min="3" max="3" width="15.58984375" bestFit="1" customWidth="1"/>
    <col min="4" max="4" width="10.26953125" bestFit="1" customWidth="1"/>
    <col min="5" max="5" width="11.04296875" bestFit="1" customWidth="1"/>
    <col min="6" max="6" width="10.26953125" bestFit="1" customWidth="1"/>
    <col min="7" max="7" width="15.36328125" bestFit="1" customWidth="1"/>
    <col min="8" max="8" width="11.26953125" bestFit="1" customWidth="1"/>
  </cols>
  <sheetData>
    <row r="2" spans="2:9" ht="18.5" x14ac:dyDescent="0.9">
      <c r="B2" s="22" t="s">
        <v>42</v>
      </c>
      <c r="C2" s="24" t="s">
        <v>51</v>
      </c>
      <c r="D2" s="25"/>
      <c r="E2" s="26"/>
    </row>
    <row r="3" spans="2:9" x14ac:dyDescent="0.75">
      <c r="C3" s="1" t="s">
        <v>64</v>
      </c>
      <c r="D3" s="32">
        <v>500</v>
      </c>
      <c r="E3" s="32"/>
      <c r="G3" s="1" t="s">
        <v>53</v>
      </c>
      <c r="H3" s="1">
        <f>E9</f>
        <v>123</v>
      </c>
    </row>
    <row r="4" spans="2:9" x14ac:dyDescent="0.75">
      <c r="C4" s="1" t="s">
        <v>52</v>
      </c>
      <c r="D4" s="32">
        <v>61000</v>
      </c>
      <c r="E4" s="32"/>
      <c r="G4" s="1" t="s">
        <v>54</v>
      </c>
      <c r="H4" s="33">
        <f>H3/12</f>
        <v>10.25</v>
      </c>
    </row>
    <row r="5" spans="2:9" x14ac:dyDescent="0.75">
      <c r="C5" s="4"/>
      <c r="D5" s="34"/>
      <c r="E5" s="34"/>
      <c r="G5" s="37" t="s">
        <v>63</v>
      </c>
      <c r="H5" s="38">
        <f ca="1">EDATE(TODAY(), H3)</f>
        <v>48898</v>
      </c>
    </row>
    <row r="7" spans="2:9" x14ac:dyDescent="0.75">
      <c r="C7" s="47" t="s">
        <v>56</v>
      </c>
      <c r="D7" s="51" t="s">
        <v>57</v>
      </c>
      <c r="E7" s="50" t="s">
        <v>55</v>
      </c>
      <c r="F7" s="54" t="s">
        <v>58</v>
      </c>
      <c r="G7" s="53" t="s">
        <v>59</v>
      </c>
      <c r="H7" s="52" t="s">
        <v>60</v>
      </c>
    </row>
    <row r="8" spans="2:9" x14ac:dyDescent="0.75">
      <c r="B8" s="49" t="s">
        <v>61</v>
      </c>
      <c r="C8" s="56">
        <f>C$9/12</f>
        <v>17</v>
      </c>
      <c r="D8" s="56">
        <f>D$9/12</f>
        <v>12.75</v>
      </c>
      <c r="E8" s="56">
        <f>E$9/12</f>
        <v>10.25</v>
      </c>
      <c r="F8" s="57">
        <f>F$9/12</f>
        <v>8.5</v>
      </c>
      <c r="G8" s="57">
        <f>G$9/12</f>
        <v>7.333333333333333</v>
      </c>
      <c r="H8" s="57">
        <f>H$9/12</f>
        <v>6.416666666666667</v>
      </c>
    </row>
    <row r="9" spans="2:9" x14ac:dyDescent="0.75">
      <c r="B9" s="49" t="s">
        <v>62</v>
      </c>
      <c r="C9" s="58">
        <f t="array" ref="C9">INDEX(I11:I215, MATCH(TRUE, C11:C215&lt;0, 0))</f>
        <v>204</v>
      </c>
      <c r="D9" s="58">
        <f t="array" ref="D9">INDEX(I11:I215, MATCH(TRUE, D11:D215&lt;0, 0))</f>
        <v>153</v>
      </c>
      <c r="E9" s="58">
        <f t="array" ref="E9">INDEX(I11:I215, MATCH(TRUE, E11:E215&lt;0, 0))</f>
        <v>123</v>
      </c>
      <c r="F9" s="59">
        <f t="array" ref="F9">INDEX(I11:I215, MATCH(TRUE, F11:F215&lt;0, 0))</f>
        <v>102</v>
      </c>
      <c r="G9" s="59">
        <f t="array" ref="G9">INDEX(I11:I215, MATCH(TRUE, G11:G215&lt;0, 0))</f>
        <v>88</v>
      </c>
      <c r="H9" s="59">
        <f t="array" ref="H9">INDEX(I11:I215, MATCH(TRUE, H11:H215&lt;0, 0))</f>
        <v>77</v>
      </c>
    </row>
    <row r="10" spans="2:9" x14ac:dyDescent="0.75">
      <c r="B10" s="49" t="s">
        <v>70</v>
      </c>
      <c r="C10" s="60">
        <f ca="1">EDATE(TODAY(), C$9)</f>
        <v>51363</v>
      </c>
      <c r="D10" s="60">
        <f ca="1">EDATE(TODAY(), D$9)</f>
        <v>49810</v>
      </c>
      <c r="E10" s="60">
        <f ca="1">EDATE(TODAY(), E$9)</f>
        <v>48898</v>
      </c>
      <c r="F10" s="61">
        <f ca="1">EDATE(TODAY(), F$9)</f>
        <v>48259</v>
      </c>
      <c r="G10" s="61">
        <f ca="1">EDATE(TODAY(), G$9)</f>
        <v>47832</v>
      </c>
      <c r="H10" s="61">
        <f ca="1">EDATE(TODAY(), H$9)</f>
        <v>47498</v>
      </c>
      <c r="I10" s="62" t="s">
        <v>38</v>
      </c>
    </row>
    <row r="11" spans="2:9" x14ac:dyDescent="0.75">
      <c r="C11" s="55">
        <f>$D$4</f>
        <v>61000</v>
      </c>
      <c r="D11" s="55">
        <f>$D$4</f>
        <v>61000</v>
      </c>
      <c r="E11" s="55">
        <f>$D$4</f>
        <v>61000</v>
      </c>
      <c r="F11" s="55">
        <f>$D$4</f>
        <v>61000</v>
      </c>
      <c r="G11" s="55">
        <f>$D$4</f>
        <v>61000</v>
      </c>
      <c r="H11" s="55">
        <f>$D$4</f>
        <v>61000</v>
      </c>
      <c r="I11" s="62">
        <v>0</v>
      </c>
    </row>
    <row r="12" spans="2:9" x14ac:dyDescent="0.75">
      <c r="C12" s="55">
        <f>$C11 - ($D$3-200)</f>
        <v>60700</v>
      </c>
      <c r="D12" s="55">
        <f>$D11 - ($D$3-100)</f>
        <v>60600</v>
      </c>
      <c r="E12" s="55">
        <f>$E11 - ($D$3)</f>
        <v>60500</v>
      </c>
      <c r="F12" s="55">
        <f>$F11 - ($D$3+100)</f>
        <v>60400</v>
      </c>
      <c r="G12" s="55">
        <f>$G11 - ($D$3+200)</f>
        <v>60300</v>
      </c>
      <c r="H12" s="55">
        <f>$H11 - ($D$3+300)</f>
        <v>60200</v>
      </c>
      <c r="I12" s="62">
        <v>1</v>
      </c>
    </row>
    <row r="13" spans="2:9" x14ac:dyDescent="0.75">
      <c r="C13" s="55">
        <f>$C12 - ($D$3-200)</f>
        <v>60400</v>
      </c>
      <c r="D13" s="55">
        <f t="shared" ref="D13:D76" si="0">$D12 - ($D$3-100)</f>
        <v>60200</v>
      </c>
      <c r="E13" s="55">
        <f t="shared" ref="E13:E76" si="1">$E12 - ($D$3)</f>
        <v>60000</v>
      </c>
      <c r="F13" s="55">
        <f t="shared" ref="F13:F76" si="2">$F12 - ($D$3+100)</f>
        <v>59800</v>
      </c>
      <c r="G13" s="55">
        <f t="shared" ref="G13:G76" si="3">$G12 - ($D$3+200)</f>
        <v>59600</v>
      </c>
      <c r="H13" s="55">
        <f t="shared" ref="H13:H76" si="4">$H12 - ($D$3+300)</f>
        <v>59400</v>
      </c>
      <c r="I13" s="62">
        <v>2</v>
      </c>
    </row>
    <row r="14" spans="2:9" x14ac:dyDescent="0.75">
      <c r="C14" s="55">
        <f t="shared" ref="C14:C77" si="5">$C13 - ($D$3-200)</f>
        <v>60100</v>
      </c>
      <c r="D14" s="55">
        <f t="shared" si="0"/>
        <v>59800</v>
      </c>
      <c r="E14" s="55">
        <f t="shared" si="1"/>
        <v>59500</v>
      </c>
      <c r="F14" s="55">
        <f t="shared" si="2"/>
        <v>59200</v>
      </c>
      <c r="G14" s="55">
        <f t="shared" si="3"/>
        <v>58900</v>
      </c>
      <c r="H14" s="55">
        <f t="shared" si="4"/>
        <v>58600</v>
      </c>
      <c r="I14" s="62">
        <v>3</v>
      </c>
    </row>
    <row r="15" spans="2:9" x14ac:dyDescent="0.75">
      <c r="C15" s="55">
        <f t="shared" si="5"/>
        <v>59800</v>
      </c>
      <c r="D15" s="55">
        <f t="shared" si="0"/>
        <v>59400</v>
      </c>
      <c r="E15" s="55">
        <f t="shared" si="1"/>
        <v>59000</v>
      </c>
      <c r="F15" s="55">
        <f t="shared" si="2"/>
        <v>58600</v>
      </c>
      <c r="G15" s="55">
        <f t="shared" si="3"/>
        <v>58200</v>
      </c>
      <c r="H15" s="55">
        <f t="shared" si="4"/>
        <v>57800</v>
      </c>
      <c r="I15" s="62">
        <v>4</v>
      </c>
    </row>
    <row r="16" spans="2:9" x14ac:dyDescent="0.75">
      <c r="C16" s="55">
        <f t="shared" si="5"/>
        <v>59500</v>
      </c>
      <c r="D16" s="55">
        <f t="shared" si="0"/>
        <v>59000</v>
      </c>
      <c r="E16" s="55">
        <f t="shared" si="1"/>
        <v>58500</v>
      </c>
      <c r="F16" s="55">
        <f t="shared" si="2"/>
        <v>58000</v>
      </c>
      <c r="G16" s="55">
        <f t="shared" si="3"/>
        <v>57500</v>
      </c>
      <c r="H16" s="55">
        <f t="shared" si="4"/>
        <v>57000</v>
      </c>
      <c r="I16" s="62">
        <v>5</v>
      </c>
    </row>
    <row r="17" spans="3:9" x14ac:dyDescent="0.75">
      <c r="C17" s="55">
        <f t="shared" si="5"/>
        <v>59200</v>
      </c>
      <c r="D17" s="55">
        <f t="shared" si="0"/>
        <v>58600</v>
      </c>
      <c r="E17" s="55">
        <f t="shared" si="1"/>
        <v>58000</v>
      </c>
      <c r="F17" s="55">
        <f t="shared" si="2"/>
        <v>57400</v>
      </c>
      <c r="G17" s="55">
        <f t="shared" si="3"/>
        <v>56800</v>
      </c>
      <c r="H17" s="55">
        <f t="shared" si="4"/>
        <v>56200</v>
      </c>
      <c r="I17" s="62">
        <v>6</v>
      </c>
    </row>
    <row r="18" spans="3:9" x14ac:dyDescent="0.75">
      <c r="C18" s="55">
        <f t="shared" si="5"/>
        <v>58900</v>
      </c>
      <c r="D18" s="55">
        <f t="shared" si="0"/>
        <v>58200</v>
      </c>
      <c r="E18" s="55">
        <f t="shared" si="1"/>
        <v>57500</v>
      </c>
      <c r="F18" s="55">
        <f t="shared" si="2"/>
        <v>56800</v>
      </c>
      <c r="G18" s="55">
        <f t="shared" si="3"/>
        <v>56100</v>
      </c>
      <c r="H18" s="55">
        <f t="shared" si="4"/>
        <v>55400</v>
      </c>
      <c r="I18" s="62">
        <v>7</v>
      </c>
    </row>
    <row r="19" spans="3:9" x14ac:dyDescent="0.75">
      <c r="C19" s="55">
        <f t="shared" si="5"/>
        <v>58600</v>
      </c>
      <c r="D19" s="55">
        <f t="shared" si="0"/>
        <v>57800</v>
      </c>
      <c r="E19" s="55">
        <f t="shared" si="1"/>
        <v>57000</v>
      </c>
      <c r="F19" s="55">
        <f t="shared" si="2"/>
        <v>56200</v>
      </c>
      <c r="G19" s="55">
        <f t="shared" si="3"/>
        <v>55400</v>
      </c>
      <c r="H19" s="55">
        <f t="shared" si="4"/>
        <v>54600</v>
      </c>
      <c r="I19" s="62">
        <v>8</v>
      </c>
    </row>
    <row r="20" spans="3:9" x14ac:dyDescent="0.75">
      <c r="C20" s="55">
        <f t="shared" si="5"/>
        <v>58300</v>
      </c>
      <c r="D20" s="55">
        <f t="shared" si="0"/>
        <v>57400</v>
      </c>
      <c r="E20" s="55">
        <f t="shared" si="1"/>
        <v>56500</v>
      </c>
      <c r="F20" s="55">
        <f t="shared" si="2"/>
        <v>55600</v>
      </c>
      <c r="G20" s="55">
        <f t="shared" si="3"/>
        <v>54700</v>
      </c>
      <c r="H20" s="55">
        <f t="shared" si="4"/>
        <v>53800</v>
      </c>
      <c r="I20" s="62">
        <v>9</v>
      </c>
    </row>
    <row r="21" spans="3:9" x14ac:dyDescent="0.75">
      <c r="C21" s="55">
        <f t="shared" si="5"/>
        <v>58000</v>
      </c>
      <c r="D21" s="55">
        <f t="shared" si="0"/>
        <v>57000</v>
      </c>
      <c r="E21" s="55">
        <f t="shared" si="1"/>
        <v>56000</v>
      </c>
      <c r="F21" s="55">
        <f t="shared" si="2"/>
        <v>55000</v>
      </c>
      <c r="G21" s="55">
        <f t="shared" si="3"/>
        <v>54000</v>
      </c>
      <c r="H21" s="55">
        <f t="shared" si="4"/>
        <v>53000</v>
      </c>
      <c r="I21" s="62">
        <v>10</v>
      </c>
    </row>
    <row r="22" spans="3:9" x14ac:dyDescent="0.75">
      <c r="C22" s="55">
        <f t="shared" si="5"/>
        <v>57700</v>
      </c>
      <c r="D22" s="55">
        <f t="shared" si="0"/>
        <v>56600</v>
      </c>
      <c r="E22" s="55">
        <f t="shared" si="1"/>
        <v>55500</v>
      </c>
      <c r="F22" s="55">
        <f t="shared" si="2"/>
        <v>54400</v>
      </c>
      <c r="G22" s="55">
        <f t="shared" si="3"/>
        <v>53300</v>
      </c>
      <c r="H22" s="55">
        <f t="shared" si="4"/>
        <v>52200</v>
      </c>
      <c r="I22" s="62">
        <v>11</v>
      </c>
    </row>
    <row r="23" spans="3:9" x14ac:dyDescent="0.75">
      <c r="C23" s="55">
        <f t="shared" si="5"/>
        <v>57400</v>
      </c>
      <c r="D23" s="55">
        <f t="shared" si="0"/>
        <v>56200</v>
      </c>
      <c r="E23" s="55">
        <f t="shared" si="1"/>
        <v>55000</v>
      </c>
      <c r="F23" s="55">
        <f t="shared" si="2"/>
        <v>53800</v>
      </c>
      <c r="G23" s="55">
        <f t="shared" si="3"/>
        <v>52600</v>
      </c>
      <c r="H23" s="55">
        <f t="shared" si="4"/>
        <v>51400</v>
      </c>
      <c r="I23" s="62">
        <v>12</v>
      </c>
    </row>
    <row r="24" spans="3:9" x14ac:dyDescent="0.75">
      <c r="C24" s="55">
        <f t="shared" si="5"/>
        <v>57100</v>
      </c>
      <c r="D24" s="55">
        <f t="shared" si="0"/>
        <v>55800</v>
      </c>
      <c r="E24" s="55">
        <f t="shared" si="1"/>
        <v>54500</v>
      </c>
      <c r="F24" s="55">
        <f t="shared" si="2"/>
        <v>53200</v>
      </c>
      <c r="G24" s="55">
        <f t="shared" si="3"/>
        <v>51900</v>
      </c>
      <c r="H24" s="55">
        <f t="shared" si="4"/>
        <v>50600</v>
      </c>
      <c r="I24" s="62">
        <v>13</v>
      </c>
    </row>
    <row r="25" spans="3:9" x14ac:dyDescent="0.75">
      <c r="C25" s="55">
        <f t="shared" si="5"/>
        <v>56800</v>
      </c>
      <c r="D25" s="55">
        <f t="shared" si="0"/>
        <v>55400</v>
      </c>
      <c r="E25" s="55">
        <f t="shared" si="1"/>
        <v>54000</v>
      </c>
      <c r="F25" s="55">
        <f t="shared" si="2"/>
        <v>52600</v>
      </c>
      <c r="G25" s="55">
        <f t="shared" si="3"/>
        <v>51200</v>
      </c>
      <c r="H25" s="55">
        <f t="shared" si="4"/>
        <v>49800</v>
      </c>
      <c r="I25" s="62">
        <v>14</v>
      </c>
    </row>
    <row r="26" spans="3:9" x14ac:dyDescent="0.75">
      <c r="C26" s="55">
        <f t="shared" si="5"/>
        <v>56500</v>
      </c>
      <c r="D26" s="55">
        <f t="shared" si="0"/>
        <v>55000</v>
      </c>
      <c r="E26" s="55">
        <f t="shared" si="1"/>
        <v>53500</v>
      </c>
      <c r="F26" s="55">
        <f t="shared" si="2"/>
        <v>52000</v>
      </c>
      <c r="G26" s="55">
        <f t="shared" si="3"/>
        <v>50500</v>
      </c>
      <c r="H26" s="55">
        <f t="shared" si="4"/>
        <v>49000</v>
      </c>
      <c r="I26" s="62">
        <v>15</v>
      </c>
    </row>
    <row r="27" spans="3:9" x14ac:dyDescent="0.75">
      <c r="C27" s="55">
        <f t="shared" si="5"/>
        <v>56200</v>
      </c>
      <c r="D27" s="55">
        <f t="shared" si="0"/>
        <v>54600</v>
      </c>
      <c r="E27" s="55">
        <f t="shared" si="1"/>
        <v>53000</v>
      </c>
      <c r="F27" s="55">
        <f t="shared" si="2"/>
        <v>51400</v>
      </c>
      <c r="G27" s="55">
        <f t="shared" si="3"/>
        <v>49800</v>
      </c>
      <c r="H27" s="55">
        <f t="shared" si="4"/>
        <v>48200</v>
      </c>
      <c r="I27" s="62">
        <v>16</v>
      </c>
    </row>
    <row r="28" spans="3:9" x14ac:dyDescent="0.75">
      <c r="C28" s="55">
        <f t="shared" si="5"/>
        <v>55900</v>
      </c>
      <c r="D28" s="55">
        <f t="shared" si="0"/>
        <v>54200</v>
      </c>
      <c r="E28" s="55">
        <f t="shared" si="1"/>
        <v>52500</v>
      </c>
      <c r="F28" s="55">
        <f t="shared" si="2"/>
        <v>50800</v>
      </c>
      <c r="G28" s="55">
        <f t="shared" si="3"/>
        <v>49100</v>
      </c>
      <c r="H28" s="55">
        <f t="shared" si="4"/>
        <v>47400</v>
      </c>
      <c r="I28" s="62">
        <v>17</v>
      </c>
    </row>
    <row r="29" spans="3:9" x14ac:dyDescent="0.75">
      <c r="C29" s="55">
        <f t="shared" si="5"/>
        <v>55600</v>
      </c>
      <c r="D29" s="55">
        <f t="shared" si="0"/>
        <v>53800</v>
      </c>
      <c r="E29" s="55">
        <f t="shared" si="1"/>
        <v>52000</v>
      </c>
      <c r="F29" s="55">
        <f t="shared" si="2"/>
        <v>50200</v>
      </c>
      <c r="G29" s="55">
        <f t="shared" si="3"/>
        <v>48400</v>
      </c>
      <c r="H29" s="55">
        <f t="shared" si="4"/>
        <v>46600</v>
      </c>
      <c r="I29" s="62">
        <v>18</v>
      </c>
    </row>
    <row r="30" spans="3:9" x14ac:dyDescent="0.75">
      <c r="C30" s="55">
        <f t="shared" si="5"/>
        <v>55300</v>
      </c>
      <c r="D30" s="55">
        <f t="shared" si="0"/>
        <v>53400</v>
      </c>
      <c r="E30" s="55">
        <f t="shared" si="1"/>
        <v>51500</v>
      </c>
      <c r="F30" s="55">
        <f t="shared" si="2"/>
        <v>49600</v>
      </c>
      <c r="G30" s="55">
        <f t="shared" si="3"/>
        <v>47700</v>
      </c>
      <c r="H30" s="55">
        <f t="shared" si="4"/>
        <v>45800</v>
      </c>
      <c r="I30" s="62">
        <v>19</v>
      </c>
    </row>
    <row r="31" spans="3:9" x14ac:dyDescent="0.75">
      <c r="C31" s="55">
        <f t="shared" si="5"/>
        <v>55000</v>
      </c>
      <c r="D31" s="55">
        <f t="shared" si="0"/>
        <v>53000</v>
      </c>
      <c r="E31" s="55">
        <f t="shared" si="1"/>
        <v>51000</v>
      </c>
      <c r="F31" s="55">
        <f t="shared" si="2"/>
        <v>49000</v>
      </c>
      <c r="G31" s="55">
        <f t="shared" si="3"/>
        <v>47000</v>
      </c>
      <c r="H31" s="55">
        <f t="shared" si="4"/>
        <v>45000</v>
      </c>
      <c r="I31" s="62">
        <v>20</v>
      </c>
    </row>
    <row r="32" spans="3:9" x14ac:dyDescent="0.75">
      <c r="C32" s="55">
        <f t="shared" si="5"/>
        <v>54700</v>
      </c>
      <c r="D32" s="55">
        <f t="shared" si="0"/>
        <v>52600</v>
      </c>
      <c r="E32" s="55">
        <f t="shared" si="1"/>
        <v>50500</v>
      </c>
      <c r="F32" s="55">
        <f t="shared" si="2"/>
        <v>48400</v>
      </c>
      <c r="G32" s="55">
        <f t="shared" si="3"/>
        <v>46300</v>
      </c>
      <c r="H32" s="55">
        <f t="shared" si="4"/>
        <v>44200</v>
      </c>
      <c r="I32" s="62">
        <v>21</v>
      </c>
    </row>
    <row r="33" spans="3:9" x14ac:dyDescent="0.75">
      <c r="C33" s="55">
        <f t="shared" si="5"/>
        <v>54400</v>
      </c>
      <c r="D33" s="55">
        <f t="shared" si="0"/>
        <v>52200</v>
      </c>
      <c r="E33" s="55">
        <f t="shared" si="1"/>
        <v>50000</v>
      </c>
      <c r="F33" s="55">
        <f t="shared" si="2"/>
        <v>47800</v>
      </c>
      <c r="G33" s="55">
        <f t="shared" si="3"/>
        <v>45600</v>
      </c>
      <c r="H33" s="55">
        <f t="shared" si="4"/>
        <v>43400</v>
      </c>
      <c r="I33" s="62">
        <v>22</v>
      </c>
    </row>
    <row r="34" spans="3:9" x14ac:dyDescent="0.75">
      <c r="C34" s="55">
        <f t="shared" si="5"/>
        <v>54100</v>
      </c>
      <c r="D34" s="55">
        <f t="shared" si="0"/>
        <v>51800</v>
      </c>
      <c r="E34" s="55">
        <f t="shared" si="1"/>
        <v>49500</v>
      </c>
      <c r="F34" s="55">
        <f t="shared" si="2"/>
        <v>47200</v>
      </c>
      <c r="G34" s="55">
        <f t="shared" si="3"/>
        <v>44900</v>
      </c>
      <c r="H34" s="55">
        <f t="shared" si="4"/>
        <v>42600</v>
      </c>
      <c r="I34" s="62">
        <v>23</v>
      </c>
    </row>
    <row r="35" spans="3:9" x14ac:dyDescent="0.75">
      <c r="C35" s="55">
        <f t="shared" si="5"/>
        <v>53800</v>
      </c>
      <c r="D35" s="55">
        <f t="shared" si="0"/>
        <v>51400</v>
      </c>
      <c r="E35" s="55">
        <f t="shared" si="1"/>
        <v>49000</v>
      </c>
      <c r="F35" s="55">
        <f t="shared" si="2"/>
        <v>46600</v>
      </c>
      <c r="G35" s="55">
        <f t="shared" si="3"/>
        <v>44200</v>
      </c>
      <c r="H35" s="55">
        <f t="shared" si="4"/>
        <v>41800</v>
      </c>
      <c r="I35" s="62">
        <v>24</v>
      </c>
    </row>
    <row r="36" spans="3:9" x14ac:dyDescent="0.75">
      <c r="C36" s="55">
        <f t="shared" si="5"/>
        <v>53500</v>
      </c>
      <c r="D36" s="55">
        <f t="shared" si="0"/>
        <v>51000</v>
      </c>
      <c r="E36" s="55">
        <f t="shared" si="1"/>
        <v>48500</v>
      </c>
      <c r="F36" s="55">
        <f t="shared" si="2"/>
        <v>46000</v>
      </c>
      <c r="G36" s="55">
        <f t="shared" si="3"/>
        <v>43500</v>
      </c>
      <c r="H36" s="55">
        <f t="shared" si="4"/>
        <v>41000</v>
      </c>
      <c r="I36" s="62">
        <v>25</v>
      </c>
    </row>
    <row r="37" spans="3:9" x14ac:dyDescent="0.75">
      <c r="C37" s="55">
        <f t="shared" si="5"/>
        <v>53200</v>
      </c>
      <c r="D37" s="55">
        <f t="shared" si="0"/>
        <v>50600</v>
      </c>
      <c r="E37" s="55">
        <f t="shared" si="1"/>
        <v>48000</v>
      </c>
      <c r="F37" s="55">
        <f t="shared" si="2"/>
        <v>45400</v>
      </c>
      <c r="G37" s="55">
        <f t="shared" si="3"/>
        <v>42800</v>
      </c>
      <c r="H37" s="55">
        <f t="shared" si="4"/>
        <v>40200</v>
      </c>
      <c r="I37" s="62">
        <v>26</v>
      </c>
    </row>
    <row r="38" spans="3:9" x14ac:dyDescent="0.75">
      <c r="C38" s="55">
        <f t="shared" si="5"/>
        <v>52900</v>
      </c>
      <c r="D38" s="55">
        <f t="shared" si="0"/>
        <v>50200</v>
      </c>
      <c r="E38" s="55">
        <f t="shared" si="1"/>
        <v>47500</v>
      </c>
      <c r="F38" s="55">
        <f t="shared" si="2"/>
        <v>44800</v>
      </c>
      <c r="G38" s="55">
        <f t="shared" si="3"/>
        <v>42100</v>
      </c>
      <c r="H38" s="55">
        <f t="shared" si="4"/>
        <v>39400</v>
      </c>
      <c r="I38" s="62">
        <v>27</v>
      </c>
    </row>
    <row r="39" spans="3:9" x14ac:dyDescent="0.75">
      <c r="C39" s="55">
        <f t="shared" si="5"/>
        <v>52600</v>
      </c>
      <c r="D39" s="55">
        <f t="shared" si="0"/>
        <v>49800</v>
      </c>
      <c r="E39" s="55">
        <f t="shared" si="1"/>
        <v>47000</v>
      </c>
      <c r="F39" s="55">
        <f t="shared" si="2"/>
        <v>44200</v>
      </c>
      <c r="G39" s="55">
        <f t="shared" si="3"/>
        <v>41400</v>
      </c>
      <c r="H39" s="55">
        <f t="shared" si="4"/>
        <v>38600</v>
      </c>
      <c r="I39" s="62">
        <v>28</v>
      </c>
    </row>
    <row r="40" spans="3:9" x14ac:dyDescent="0.75">
      <c r="C40" s="55">
        <f t="shared" si="5"/>
        <v>52300</v>
      </c>
      <c r="D40" s="55">
        <f t="shared" si="0"/>
        <v>49400</v>
      </c>
      <c r="E40" s="55">
        <f t="shared" si="1"/>
        <v>46500</v>
      </c>
      <c r="F40" s="55">
        <f t="shared" si="2"/>
        <v>43600</v>
      </c>
      <c r="G40" s="55">
        <f t="shared" si="3"/>
        <v>40700</v>
      </c>
      <c r="H40" s="55">
        <f t="shared" si="4"/>
        <v>37800</v>
      </c>
      <c r="I40" s="62">
        <v>29</v>
      </c>
    </row>
    <row r="41" spans="3:9" x14ac:dyDescent="0.75">
      <c r="C41" s="55">
        <f t="shared" si="5"/>
        <v>52000</v>
      </c>
      <c r="D41" s="55">
        <f t="shared" si="0"/>
        <v>49000</v>
      </c>
      <c r="E41" s="55">
        <f t="shared" si="1"/>
        <v>46000</v>
      </c>
      <c r="F41" s="55">
        <f t="shared" si="2"/>
        <v>43000</v>
      </c>
      <c r="G41" s="55">
        <f t="shared" si="3"/>
        <v>40000</v>
      </c>
      <c r="H41" s="55">
        <f t="shared" si="4"/>
        <v>37000</v>
      </c>
      <c r="I41" s="62">
        <v>30</v>
      </c>
    </row>
    <row r="42" spans="3:9" x14ac:dyDescent="0.75">
      <c r="C42" s="55">
        <f t="shared" si="5"/>
        <v>51700</v>
      </c>
      <c r="D42" s="55">
        <f t="shared" si="0"/>
        <v>48600</v>
      </c>
      <c r="E42" s="55">
        <f t="shared" si="1"/>
        <v>45500</v>
      </c>
      <c r="F42" s="55">
        <f t="shared" si="2"/>
        <v>42400</v>
      </c>
      <c r="G42" s="55">
        <f t="shared" si="3"/>
        <v>39300</v>
      </c>
      <c r="H42" s="55">
        <f t="shared" si="4"/>
        <v>36200</v>
      </c>
      <c r="I42" s="62">
        <v>31</v>
      </c>
    </row>
    <row r="43" spans="3:9" x14ac:dyDescent="0.75">
      <c r="C43" s="55">
        <f t="shared" si="5"/>
        <v>51400</v>
      </c>
      <c r="D43" s="55">
        <f t="shared" si="0"/>
        <v>48200</v>
      </c>
      <c r="E43" s="55">
        <f t="shared" si="1"/>
        <v>45000</v>
      </c>
      <c r="F43" s="55">
        <f t="shared" si="2"/>
        <v>41800</v>
      </c>
      <c r="G43" s="55">
        <f t="shared" si="3"/>
        <v>38600</v>
      </c>
      <c r="H43" s="55">
        <f t="shared" si="4"/>
        <v>35400</v>
      </c>
      <c r="I43" s="62">
        <v>32</v>
      </c>
    </row>
    <row r="44" spans="3:9" x14ac:dyDescent="0.75">
      <c r="C44" s="55">
        <f t="shared" si="5"/>
        <v>51100</v>
      </c>
      <c r="D44" s="55">
        <f t="shared" si="0"/>
        <v>47800</v>
      </c>
      <c r="E44" s="55">
        <f t="shared" si="1"/>
        <v>44500</v>
      </c>
      <c r="F44" s="55">
        <f t="shared" si="2"/>
        <v>41200</v>
      </c>
      <c r="G44" s="55">
        <f t="shared" si="3"/>
        <v>37900</v>
      </c>
      <c r="H44" s="55">
        <f t="shared" si="4"/>
        <v>34600</v>
      </c>
      <c r="I44" s="62">
        <v>33</v>
      </c>
    </row>
    <row r="45" spans="3:9" x14ac:dyDescent="0.75">
      <c r="C45" s="55">
        <f t="shared" si="5"/>
        <v>50800</v>
      </c>
      <c r="D45" s="55">
        <f t="shared" si="0"/>
        <v>47400</v>
      </c>
      <c r="E45" s="55">
        <f t="shared" si="1"/>
        <v>44000</v>
      </c>
      <c r="F45" s="55">
        <f t="shared" si="2"/>
        <v>40600</v>
      </c>
      <c r="G45" s="55">
        <f t="shared" si="3"/>
        <v>37200</v>
      </c>
      <c r="H45" s="55">
        <f t="shared" si="4"/>
        <v>33800</v>
      </c>
      <c r="I45" s="62">
        <v>34</v>
      </c>
    </row>
    <row r="46" spans="3:9" x14ac:dyDescent="0.75">
      <c r="C46" s="55">
        <f t="shared" si="5"/>
        <v>50500</v>
      </c>
      <c r="D46" s="55">
        <f t="shared" si="0"/>
        <v>47000</v>
      </c>
      <c r="E46" s="55">
        <f t="shared" si="1"/>
        <v>43500</v>
      </c>
      <c r="F46" s="55">
        <f t="shared" si="2"/>
        <v>40000</v>
      </c>
      <c r="G46" s="55">
        <f t="shared" si="3"/>
        <v>36500</v>
      </c>
      <c r="H46" s="55">
        <f t="shared" si="4"/>
        <v>33000</v>
      </c>
      <c r="I46" s="62">
        <v>35</v>
      </c>
    </row>
    <row r="47" spans="3:9" x14ac:dyDescent="0.75">
      <c r="C47" s="55">
        <f t="shared" si="5"/>
        <v>50200</v>
      </c>
      <c r="D47" s="55">
        <f t="shared" si="0"/>
        <v>46600</v>
      </c>
      <c r="E47" s="55">
        <f t="shared" si="1"/>
        <v>43000</v>
      </c>
      <c r="F47" s="55">
        <f t="shared" si="2"/>
        <v>39400</v>
      </c>
      <c r="G47" s="55">
        <f t="shared" si="3"/>
        <v>35800</v>
      </c>
      <c r="H47" s="55">
        <f t="shared" si="4"/>
        <v>32200</v>
      </c>
      <c r="I47" s="62">
        <v>36</v>
      </c>
    </row>
    <row r="48" spans="3:9" x14ac:dyDescent="0.75">
      <c r="C48" s="55">
        <f t="shared" si="5"/>
        <v>49900</v>
      </c>
      <c r="D48" s="55">
        <f t="shared" si="0"/>
        <v>46200</v>
      </c>
      <c r="E48" s="55">
        <f t="shared" si="1"/>
        <v>42500</v>
      </c>
      <c r="F48" s="55">
        <f t="shared" si="2"/>
        <v>38800</v>
      </c>
      <c r="G48" s="55">
        <f t="shared" si="3"/>
        <v>35100</v>
      </c>
      <c r="H48" s="55">
        <f t="shared" si="4"/>
        <v>31400</v>
      </c>
      <c r="I48" s="62">
        <v>37</v>
      </c>
    </row>
    <row r="49" spans="3:9" x14ac:dyDescent="0.75">
      <c r="C49" s="55">
        <f t="shared" si="5"/>
        <v>49600</v>
      </c>
      <c r="D49" s="55">
        <f t="shared" si="0"/>
        <v>45800</v>
      </c>
      <c r="E49" s="55">
        <f t="shared" si="1"/>
        <v>42000</v>
      </c>
      <c r="F49" s="55">
        <f t="shared" si="2"/>
        <v>38200</v>
      </c>
      <c r="G49" s="55">
        <f t="shared" si="3"/>
        <v>34400</v>
      </c>
      <c r="H49" s="55">
        <f t="shared" si="4"/>
        <v>30600</v>
      </c>
      <c r="I49" s="62">
        <v>38</v>
      </c>
    </row>
    <row r="50" spans="3:9" x14ac:dyDescent="0.75">
      <c r="C50" s="55">
        <f t="shared" si="5"/>
        <v>49300</v>
      </c>
      <c r="D50" s="55">
        <f t="shared" si="0"/>
        <v>45400</v>
      </c>
      <c r="E50" s="55">
        <f t="shared" si="1"/>
        <v>41500</v>
      </c>
      <c r="F50" s="55">
        <f t="shared" si="2"/>
        <v>37600</v>
      </c>
      <c r="G50" s="55">
        <f t="shared" si="3"/>
        <v>33700</v>
      </c>
      <c r="H50" s="55">
        <f t="shared" si="4"/>
        <v>29800</v>
      </c>
      <c r="I50" s="62">
        <v>39</v>
      </c>
    </row>
    <row r="51" spans="3:9" x14ac:dyDescent="0.75">
      <c r="C51" s="55">
        <f t="shared" si="5"/>
        <v>49000</v>
      </c>
      <c r="D51" s="55">
        <f t="shared" si="0"/>
        <v>45000</v>
      </c>
      <c r="E51" s="55">
        <f t="shared" si="1"/>
        <v>41000</v>
      </c>
      <c r="F51" s="55">
        <f t="shared" si="2"/>
        <v>37000</v>
      </c>
      <c r="G51" s="55">
        <f t="shared" si="3"/>
        <v>33000</v>
      </c>
      <c r="H51" s="55">
        <f t="shared" si="4"/>
        <v>29000</v>
      </c>
      <c r="I51" s="62">
        <v>40</v>
      </c>
    </row>
    <row r="52" spans="3:9" x14ac:dyDescent="0.75">
      <c r="C52" s="55">
        <f t="shared" si="5"/>
        <v>48700</v>
      </c>
      <c r="D52" s="55">
        <f t="shared" si="0"/>
        <v>44600</v>
      </c>
      <c r="E52" s="55">
        <f t="shared" si="1"/>
        <v>40500</v>
      </c>
      <c r="F52" s="55">
        <f t="shared" si="2"/>
        <v>36400</v>
      </c>
      <c r="G52" s="55">
        <f t="shared" si="3"/>
        <v>32300</v>
      </c>
      <c r="H52" s="55">
        <f t="shared" si="4"/>
        <v>28200</v>
      </c>
      <c r="I52" s="62">
        <v>41</v>
      </c>
    </row>
    <row r="53" spans="3:9" x14ac:dyDescent="0.75">
      <c r="C53" s="55">
        <f t="shared" si="5"/>
        <v>48400</v>
      </c>
      <c r="D53" s="55">
        <f t="shared" si="0"/>
        <v>44200</v>
      </c>
      <c r="E53" s="55">
        <f t="shared" si="1"/>
        <v>40000</v>
      </c>
      <c r="F53" s="55">
        <f t="shared" si="2"/>
        <v>35800</v>
      </c>
      <c r="G53" s="55">
        <f t="shared" si="3"/>
        <v>31600</v>
      </c>
      <c r="H53" s="55">
        <f t="shared" si="4"/>
        <v>27400</v>
      </c>
      <c r="I53" s="62">
        <v>42</v>
      </c>
    </row>
    <row r="54" spans="3:9" x14ac:dyDescent="0.75">
      <c r="C54" s="55">
        <f t="shared" si="5"/>
        <v>48100</v>
      </c>
      <c r="D54" s="55">
        <f t="shared" si="0"/>
        <v>43800</v>
      </c>
      <c r="E54" s="55">
        <f t="shared" si="1"/>
        <v>39500</v>
      </c>
      <c r="F54" s="55">
        <f t="shared" si="2"/>
        <v>35200</v>
      </c>
      <c r="G54" s="55">
        <f t="shared" si="3"/>
        <v>30900</v>
      </c>
      <c r="H54" s="55">
        <f t="shared" si="4"/>
        <v>26600</v>
      </c>
      <c r="I54" s="62">
        <v>43</v>
      </c>
    </row>
    <row r="55" spans="3:9" x14ac:dyDescent="0.75">
      <c r="C55" s="55">
        <f t="shared" si="5"/>
        <v>47800</v>
      </c>
      <c r="D55" s="55">
        <f t="shared" si="0"/>
        <v>43400</v>
      </c>
      <c r="E55" s="55">
        <f t="shared" si="1"/>
        <v>39000</v>
      </c>
      <c r="F55" s="55">
        <f t="shared" si="2"/>
        <v>34600</v>
      </c>
      <c r="G55" s="55">
        <f t="shared" si="3"/>
        <v>30200</v>
      </c>
      <c r="H55" s="55">
        <f t="shared" si="4"/>
        <v>25800</v>
      </c>
      <c r="I55" s="62">
        <v>44</v>
      </c>
    </row>
    <row r="56" spans="3:9" x14ac:dyDescent="0.75">
      <c r="C56" s="55">
        <f t="shared" si="5"/>
        <v>47500</v>
      </c>
      <c r="D56" s="55">
        <f t="shared" si="0"/>
        <v>43000</v>
      </c>
      <c r="E56" s="55">
        <f t="shared" si="1"/>
        <v>38500</v>
      </c>
      <c r="F56" s="55">
        <f t="shared" si="2"/>
        <v>34000</v>
      </c>
      <c r="G56" s="55">
        <f t="shared" si="3"/>
        <v>29500</v>
      </c>
      <c r="H56" s="55">
        <f t="shared" si="4"/>
        <v>25000</v>
      </c>
      <c r="I56" s="62">
        <v>45</v>
      </c>
    </row>
    <row r="57" spans="3:9" x14ac:dyDescent="0.75">
      <c r="C57" s="55">
        <f t="shared" si="5"/>
        <v>47200</v>
      </c>
      <c r="D57" s="55">
        <f t="shared" si="0"/>
        <v>42600</v>
      </c>
      <c r="E57" s="55">
        <f t="shared" si="1"/>
        <v>38000</v>
      </c>
      <c r="F57" s="55">
        <f t="shared" si="2"/>
        <v>33400</v>
      </c>
      <c r="G57" s="55">
        <f t="shared" si="3"/>
        <v>28800</v>
      </c>
      <c r="H57" s="55">
        <f t="shared" si="4"/>
        <v>24200</v>
      </c>
      <c r="I57" s="62">
        <v>46</v>
      </c>
    </row>
    <row r="58" spans="3:9" x14ac:dyDescent="0.75">
      <c r="C58" s="55">
        <f t="shared" si="5"/>
        <v>46900</v>
      </c>
      <c r="D58" s="55">
        <f t="shared" si="0"/>
        <v>42200</v>
      </c>
      <c r="E58" s="55">
        <f t="shared" si="1"/>
        <v>37500</v>
      </c>
      <c r="F58" s="55">
        <f t="shared" si="2"/>
        <v>32800</v>
      </c>
      <c r="G58" s="55">
        <f t="shared" si="3"/>
        <v>28100</v>
      </c>
      <c r="H58" s="55">
        <f t="shared" si="4"/>
        <v>23400</v>
      </c>
      <c r="I58" s="62">
        <v>47</v>
      </c>
    </row>
    <row r="59" spans="3:9" x14ac:dyDescent="0.75">
      <c r="C59" s="55">
        <f t="shared" si="5"/>
        <v>46600</v>
      </c>
      <c r="D59" s="55">
        <f t="shared" si="0"/>
        <v>41800</v>
      </c>
      <c r="E59" s="55">
        <f t="shared" si="1"/>
        <v>37000</v>
      </c>
      <c r="F59" s="55">
        <f t="shared" si="2"/>
        <v>32200</v>
      </c>
      <c r="G59" s="55">
        <f t="shared" si="3"/>
        <v>27400</v>
      </c>
      <c r="H59" s="55">
        <f t="shared" si="4"/>
        <v>22600</v>
      </c>
      <c r="I59" s="62">
        <v>48</v>
      </c>
    </row>
    <row r="60" spans="3:9" x14ac:dyDescent="0.75">
      <c r="C60" s="55">
        <f t="shared" si="5"/>
        <v>46300</v>
      </c>
      <c r="D60" s="55">
        <f t="shared" si="0"/>
        <v>41400</v>
      </c>
      <c r="E60" s="55">
        <f t="shared" si="1"/>
        <v>36500</v>
      </c>
      <c r="F60" s="55">
        <f t="shared" si="2"/>
        <v>31600</v>
      </c>
      <c r="G60" s="55">
        <f t="shared" si="3"/>
        <v>26700</v>
      </c>
      <c r="H60" s="55">
        <f t="shared" si="4"/>
        <v>21800</v>
      </c>
      <c r="I60" s="62">
        <v>49</v>
      </c>
    </row>
    <row r="61" spans="3:9" x14ac:dyDescent="0.75">
      <c r="C61" s="55">
        <f t="shared" si="5"/>
        <v>46000</v>
      </c>
      <c r="D61" s="55">
        <f t="shared" si="0"/>
        <v>41000</v>
      </c>
      <c r="E61" s="55">
        <f t="shared" si="1"/>
        <v>36000</v>
      </c>
      <c r="F61" s="55">
        <f t="shared" si="2"/>
        <v>31000</v>
      </c>
      <c r="G61" s="55">
        <f t="shared" si="3"/>
        <v>26000</v>
      </c>
      <c r="H61" s="55">
        <f t="shared" si="4"/>
        <v>21000</v>
      </c>
      <c r="I61" s="62">
        <v>50</v>
      </c>
    </row>
    <row r="62" spans="3:9" x14ac:dyDescent="0.75">
      <c r="C62" s="55">
        <f t="shared" si="5"/>
        <v>45700</v>
      </c>
      <c r="D62" s="55">
        <f t="shared" si="0"/>
        <v>40600</v>
      </c>
      <c r="E62" s="55">
        <f t="shared" si="1"/>
        <v>35500</v>
      </c>
      <c r="F62" s="55">
        <f t="shared" si="2"/>
        <v>30400</v>
      </c>
      <c r="G62" s="55">
        <f t="shared" si="3"/>
        <v>25300</v>
      </c>
      <c r="H62" s="55">
        <f t="shared" si="4"/>
        <v>20200</v>
      </c>
      <c r="I62" s="62">
        <v>51</v>
      </c>
    </row>
    <row r="63" spans="3:9" x14ac:dyDescent="0.75">
      <c r="C63" s="55">
        <f t="shared" si="5"/>
        <v>45400</v>
      </c>
      <c r="D63" s="55">
        <f t="shared" si="0"/>
        <v>40200</v>
      </c>
      <c r="E63" s="55">
        <f t="shared" si="1"/>
        <v>35000</v>
      </c>
      <c r="F63" s="55">
        <f t="shared" si="2"/>
        <v>29800</v>
      </c>
      <c r="G63" s="55">
        <f t="shared" si="3"/>
        <v>24600</v>
      </c>
      <c r="H63" s="55">
        <f t="shared" si="4"/>
        <v>19400</v>
      </c>
      <c r="I63" s="62">
        <v>52</v>
      </c>
    </row>
    <row r="64" spans="3:9" x14ac:dyDescent="0.75">
      <c r="C64" s="55">
        <f t="shared" si="5"/>
        <v>45100</v>
      </c>
      <c r="D64" s="55">
        <f t="shared" si="0"/>
        <v>39800</v>
      </c>
      <c r="E64" s="55">
        <f t="shared" si="1"/>
        <v>34500</v>
      </c>
      <c r="F64" s="55">
        <f t="shared" si="2"/>
        <v>29200</v>
      </c>
      <c r="G64" s="55">
        <f t="shared" si="3"/>
        <v>23900</v>
      </c>
      <c r="H64" s="55">
        <f t="shared" si="4"/>
        <v>18600</v>
      </c>
      <c r="I64" s="62">
        <v>53</v>
      </c>
    </row>
    <row r="65" spans="3:9" x14ac:dyDescent="0.75">
      <c r="C65" s="55">
        <f t="shared" si="5"/>
        <v>44800</v>
      </c>
      <c r="D65" s="55">
        <f t="shared" si="0"/>
        <v>39400</v>
      </c>
      <c r="E65" s="55">
        <f t="shared" si="1"/>
        <v>34000</v>
      </c>
      <c r="F65" s="55">
        <f t="shared" si="2"/>
        <v>28600</v>
      </c>
      <c r="G65" s="55">
        <f t="shared" si="3"/>
        <v>23200</v>
      </c>
      <c r="H65" s="55">
        <f t="shared" si="4"/>
        <v>17800</v>
      </c>
      <c r="I65" s="62">
        <v>54</v>
      </c>
    </row>
    <row r="66" spans="3:9" x14ac:dyDescent="0.75">
      <c r="C66" s="55">
        <f t="shared" si="5"/>
        <v>44500</v>
      </c>
      <c r="D66" s="55">
        <f t="shared" si="0"/>
        <v>39000</v>
      </c>
      <c r="E66" s="55">
        <f t="shared" si="1"/>
        <v>33500</v>
      </c>
      <c r="F66" s="55">
        <f t="shared" si="2"/>
        <v>28000</v>
      </c>
      <c r="G66" s="55">
        <f t="shared" si="3"/>
        <v>22500</v>
      </c>
      <c r="H66" s="55">
        <f t="shared" si="4"/>
        <v>17000</v>
      </c>
      <c r="I66" s="62">
        <v>55</v>
      </c>
    </row>
    <row r="67" spans="3:9" x14ac:dyDescent="0.75">
      <c r="C67" s="55">
        <f t="shared" si="5"/>
        <v>44200</v>
      </c>
      <c r="D67" s="55">
        <f t="shared" si="0"/>
        <v>38600</v>
      </c>
      <c r="E67" s="55">
        <f t="shared" si="1"/>
        <v>33000</v>
      </c>
      <c r="F67" s="55">
        <f t="shared" si="2"/>
        <v>27400</v>
      </c>
      <c r="G67" s="55">
        <f t="shared" si="3"/>
        <v>21800</v>
      </c>
      <c r="H67" s="55">
        <f t="shared" si="4"/>
        <v>16200</v>
      </c>
      <c r="I67" s="62">
        <v>56</v>
      </c>
    </row>
    <row r="68" spans="3:9" x14ac:dyDescent="0.75">
      <c r="C68" s="55">
        <f t="shared" si="5"/>
        <v>43900</v>
      </c>
      <c r="D68" s="55">
        <f t="shared" si="0"/>
        <v>38200</v>
      </c>
      <c r="E68" s="55">
        <f t="shared" si="1"/>
        <v>32500</v>
      </c>
      <c r="F68" s="55">
        <f t="shared" si="2"/>
        <v>26800</v>
      </c>
      <c r="G68" s="55">
        <f t="shared" si="3"/>
        <v>21100</v>
      </c>
      <c r="H68" s="55">
        <f t="shared" si="4"/>
        <v>15400</v>
      </c>
      <c r="I68" s="62">
        <v>57</v>
      </c>
    </row>
    <row r="69" spans="3:9" x14ac:dyDescent="0.75">
      <c r="C69" s="55">
        <f t="shared" si="5"/>
        <v>43600</v>
      </c>
      <c r="D69" s="55">
        <f t="shared" si="0"/>
        <v>37800</v>
      </c>
      <c r="E69" s="55">
        <f t="shared" si="1"/>
        <v>32000</v>
      </c>
      <c r="F69" s="55">
        <f t="shared" si="2"/>
        <v>26200</v>
      </c>
      <c r="G69" s="55">
        <f t="shared" si="3"/>
        <v>20400</v>
      </c>
      <c r="H69" s="55">
        <f t="shared" si="4"/>
        <v>14600</v>
      </c>
      <c r="I69" s="62">
        <v>58</v>
      </c>
    </row>
    <row r="70" spans="3:9" x14ac:dyDescent="0.75">
      <c r="C70" s="55">
        <f t="shared" si="5"/>
        <v>43300</v>
      </c>
      <c r="D70" s="55">
        <f t="shared" si="0"/>
        <v>37400</v>
      </c>
      <c r="E70" s="55">
        <f t="shared" si="1"/>
        <v>31500</v>
      </c>
      <c r="F70" s="55">
        <f t="shared" si="2"/>
        <v>25600</v>
      </c>
      <c r="G70" s="55">
        <f t="shared" si="3"/>
        <v>19700</v>
      </c>
      <c r="H70" s="55">
        <f t="shared" si="4"/>
        <v>13800</v>
      </c>
      <c r="I70" s="62">
        <v>59</v>
      </c>
    </row>
    <row r="71" spans="3:9" x14ac:dyDescent="0.75">
      <c r="C71" s="55">
        <f t="shared" si="5"/>
        <v>43000</v>
      </c>
      <c r="D71" s="55">
        <f t="shared" si="0"/>
        <v>37000</v>
      </c>
      <c r="E71" s="55">
        <f t="shared" si="1"/>
        <v>31000</v>
      </c>
      <c r="F71" s="55">
        <f t="shared" si="2"/>
        <v>25000</v>
      </c>
      <c r="G71" s="55">
        <f t="shared" si="3"/>
        <v>19000</v>
      </c>
      <c r="H71" s="55">
        <f t="shared" si="4"/>
        <v>13000</v>
      </c>
      <c r="I71" s="62">
        <v>60</v>
      </c>
    </row>
    <row r="72" spans="3:9" x14ac:dyDescent="0.75">
      <c r="C72" s="55">
        <f t="shared" si="5"/>
        <v>42700</v>
      </c>
      <c r="D72" s="55">
        <f t="shared" si="0"/>
        <v>36600</v>
      </c>
      <c r="E72" s="55">
        <f t="shared" si="1"/>
        <v>30500</v>
      </c>
      <c r="F72" s="55">
        <f t="shared" si="2"/>
        <v>24400</v>
      </c>
      <c r="G72" s="55">
        <f t="shared" si="3"/>
        <v>18300</v>
      </c>
      <c r="H72" s="55">
        <f t="shared" si="4"/>
        <v>12200</v>
      </c>
      <c r="I72" s="62">
        <v>61</v>
      </c>
    </row>
    <row r="73" spans="3:9" x14ac:dyDescent="0.75">
      <c r="C73" s="55">
        <f t="shared" si="5"/>
        <v>42400</v>
      </c>
      <c r="D73" s="55">
        <f t="shared" si="0"/>
        <v>36200</v>
      </c>
      <c r="E73" s="55">
        <f t="shared" si="1"/>
        <v>30000</v>
      </c>
      <c r="F73" s="55">
        <f t="shared" si="2"/>
        <v>23800</v>
      </c>
      <c r="G73" s="55">
        <f t="shared" si="3"/>
        <v>17600</v>
      </c>
      <c r="H73" s="55">
        <f t="shared" si="4"/>
        <v>11400</v>
      </c>
      <c r="I73" s="62">
        <v>62</v>
      </c>
    </row>
    <row r="74" spans="3:9" x14ac:dyDescent="0.75">
      <c r="C74" s="55">
        <f t="shared" si="5"/>
        <v>42100</v>
      </c>
      <c r="D74" s="55">
        <f t="shared" si="0"/>
        <v>35800</v>
      </c>
      <c r="E74" s="55">
        <f t="shared" si="1"/>
        <v>29500</v>
      </c>
      <c r="F74" s="55">
        <f t="shared" si="2"/>
        <v>23200</v>
      </c>
      <c r="G74" s="55">
        <f t="shared" si="3"/>
        <v>16900</v>
      </c>
      <c r="H74" s="55">
        <f t="shared" si="4"/>
        <v>10600</v>
      </c>
      <c r="I74" s="62">
        <v>63</v>
      </c>
    </row>
    <row r="75" spans="3:9" x14ac:dyDescent="0.75">
      <c r="C75" s="55">
        <f t="shared" si="5"/>
        <v>41800</v>
      </c>
      <c r="D75" s="55">
        <f t="shared" si="0"/>
        <v>35400</v>
      </c>
      <c r="E75" s="55">
        <f t="shared" si="1"/>
        <v>29000</v>
      </c>
      <c r="F75" s="55">
        <f t="shared" si="2"/>
        <v>22600</v>
      </c>
      <c r="G75" s="55">
        <f t="shared" si="3"/>
        <v>16200</v>
      </c>
      <c r="H75" s="55">
        <f t="shared" si="4"/>
        <v>9800</v>
      </c>
      <c r="I75" s="62">
        <v>64</v>
      </c>
    </row>
    <row r="76" spans="3:9" x14ac:dyDescent="0.75">
      <c r="C76" s="55">
        <f t="shared" si="5"/>
        <v>41500</v>
      </c>
      <c r="D76" s="55">
        <f t="shared" si="0"/>
        <v>35000</v>
      </c>
      <c r="E76" s="55">
        <f t="shared" si="1"/>
        <v>28500</v>
      </c>
      <c r="F76" s="55">
        <f t="shared" si="2"/>
        <v>22000</v>
      </c>
      <c r="G76" s="55">
        <f t="shared" si="3"/>
        <v>15500</v>
      </c>
      <c r="H76" s="55">
        <f t="shared" si="4"/>
        <v>9000</v>
      </c>
      <c r="I76" s="62">
        <v>65</v>
      </c>
    </row>
    <row r="77" spans="3:9" x14ac:dyDescent="0.75">
      <c r="C77" s="55">
        <f t="shared" si="5"/>
        <v>41200</v>
      </c>
      <c r="D77" s="55">
        <f t="shared" ref="D77:D140" si="6">$D76 - ($D$3-100)</f>
        <v>34600</v>
      </c>
      <c r="E77" s="55">
        <f t="shared" ref="E77:E140" si="7">$E76 - ($D$3)</f>
        <v>28000</v>
      </c>
      <c r="F77" s="55">
        <f t="shared" ref="F77:F140" si="8">$F76 - ($D$3+100)</f>
        <v>21400</v>
      </c>
      <c r="G77" s="55">
        <f t="shared" ref="G77:G140" si="9">$G76 - ($D$3+200)</f>
        <v>14800</v>
      </c>
      <c r="H77" s="55">
        <f t="shared" ref="H77:H140" si="10">$H76 - ($D$3+300)</f>
        <v>8200</v>
      </c>
      <c r="I77" s="62">
        <v>66</v>
      </c>
    </row>
    <row r="78" spans="3:9" x14ac:dyDescent="0.75">
      <c r="C78" s="55">
        <f t="shared" ref="C78:C141" si="11">$C77 - ($D$3-200)</f>
        <v>40900</v>
      </c>
      <c r="D78" s="55">
        <f t="shared" si="6"/>
        <v>34200</v>
      </c>
      <c r="E78" s="55">
        <f t="shared" si="7"/>
        <v>27500</v>
      </c>
      <c r="F78" s="55">
        <f t="shared" si="8"/>
        <v>20800</v>
      </c>
      <c r="G78" s="55">
        <f t="shared" si="9"/>
        <v>14100</v>
      </c>
      <c r="H78" s="55">
        <f t="shared" si="10"/>
        <v>7400</v>
      </c>
      <c r="I78" s="62">
        <v>67</v>
      </c>
    </row>
    <row r="79" spans="3:9" x14ac:dyDescent="0.75">
      <c r="C79" s="55">
        <f t="shared" si="11"/>
        <v>40600</v>
      </c>
      <c r="D79" s="55">
        <f t="shared" si="6"/>
        <v>33800</v>
      </c>
      <c r="E79" s="55">
        <f t="shared" si="7"/>
        <v>27000</v>
      </c>
      <c r="F79" s="55">
        <f t="shared" si="8"/>
        <v>20200</v>
      </c>
      <c r="G79" s="55">
        <f t="shared" si="9"/>
        <v>13400</v>
      </c>
      <c r="H79" s="55">
        <f t="shared" si="10"/>
        <v>6600</v>
      </c>
      <c r="I79" s="62">
        <v>68</v>
      </c>
    </row>
    <row r="80" spans="3:9" x14ac:dyDescent="0.75">
      <c r="C80" s="55">
        <f t="shared" si="11"/>
        <v>40300</v>
      </c>
      <c r="D80" s="55">
        <f t="shared" si="6"/>
        <v>33400</v>
      </c>
      <c r="E80" s="55">
        <f t="shared" si="7"/>
        <v>26500</v>
      </c>
      <c r="F80" s="55">
        <f t="shared" si="8"/>
        <v>19600</v>
      </c>
      <c r="G80" s="55">
        <f t="shared" si="9"/>
        <v>12700</v>
      </c>
      <c r="H80" s="55">
        <f t="shared" si="10"/>
        <v>5800</v>
      </c>
      <c r="I80" s="62">
        <v>69</v>
      </c>
    </row>
    <row r="81" spans="3:9" x14ac:dyDescent="0.75">
      <c r="C81" s="55">
        <f t="shared" si="11"/>
        <v>40000</v>
      </c>
      <c r="D81" s="55">
        <f t="shared" si="6"/>
        <v>33000</v>
      </c>
      <c r="E81" s="55">
        <f t="shared" si="7"/>
        <v>26000</v>
      </c>
      <c r="F81" s="55">
        <f t="shared" si="8"/>
        <v>19000</v>
      </c>
      <c r="G81" s="55">
        <f t="shared" si="9"/>
        <v>12000</v>
      </c>
      <c r="H81" s="55">
        <f t="shared" si="10"/>
        <v>5000</v>
      </c>
      <c r="I81" s="62">
        <v>70</v>
      </c>
    </row>
    <row r="82" spans="3:9" x14ac:dyDescent="0.75">
      <c r="C82" s="55">
        <f t="shared" si="11"/>
        <v>39700</v>
      </c>
      <c r="D82" s="55">
        <f t="shared" si="6"/>
        <v>32600</v>
      </c>
      <c r="E82" s="55">
        <f t="shared" si="7"/>
        <v>25500</v>
      </c>
      <c r="F82" s="55">
        <f t="shared" si="8"/>
        <v>18400</v>
      </c>
      <c r="G82" s="55">
        <f t="shared" si="9"/>
        <v>11300</v>
      </c>
      <c r="H82" s="55">
        <f t="shared" si="10"/>
        <v>4200</v>
      </c>
      <c r="I82" s="62">
        <v>71</v>
      </c>
    </row>
    <row r="83" spans="3:9" x14ac:dyDescent="0.75">
      <c r="C83" s="55">
        <f t="shared" si="11"/>
        <v>39400</v>
      </c>
      <c r="D83" s="55">
        <f t="shared" si="6"/>
        <v>32200</v>
      </c>
      <c r="E83" s="55">
        <f t="shared" si="7"/>
        <v>25000</v>
      </c>
      <c r="F83" s="55">
        <f t="shared" si="8"/>
        <v>17800</v>
      </c>
      <c r="G83" s="55">
        <f t="shared" si="9"/>
        <v>10600</v>
      </c>
      <c r="H83" s="55">
        <f t="shared" si="10"/>
        <v>3400</v>
      </c>
      <c r="I83" s="62">
        <v>72</v>
      </c>
    </row>
    <row r="84" spans="3:9" x14ac:dyDescent="0.75">
      <c r="C84" s="55">
        <f t="shared" si="11"/>
        <v>39100</v>
      </c>
      <c r="D84" s="55">
        <f t="shared" si="6"/>
        <v>31800</v>
      </c>
      <c r="E84" s="55">
        <f t="shared" si="7"/>
        <v>24500</v>
      </c>
      <c r="F84" s="55">
        <f t="shared" si="8"/>
        <v>17200</v>
      </c>
      <c r="G84" s="55">
        <f t="shared" si="9"/>
        <v>9900</v>
      </c>
      <c r="H84" s="55">
        <f t="shared" si="10"/>
        <v>2600</v>
      </c>
      <c r="I84" s="62">
        <v>73</v>
      </c>
    </row>
    <row r="85" spans="3:9" x14ac:dyDescent="0.75">
      <c r="C85" s="55">
        <f t="shared" si="11"/>
        <v>38800</v>
      </c>
      <c r="D85" s="55">
        <f t="shared" si="6"/>
        <v>31400</v>
      </c>
      <c r="E85" s="55">
        <f t="shared" si="7"/>
        <v>24000</v>
      </c>
      <c r="F85" s="55">
        <f t="shared" si="8"/>
        <v>16600</v>
      </c>
      <c r="G85" s="55">
        <f t="shared" si="9"/>
        <v>9200</v>
      </c>
      <c r="H85" s="55">
        <f t="shared" si="10"/>
        <v>1800</v>
      </c>
      <c r="I85" s="62">
        <v>74</v>
      </c>
    </row>
    <row r="86" spans="3:9" x14ac:dyDescent="0.75">
      <c r="C86" s="55">
        <f t="shared" si="11"/>
        <v>38500</v>
      </c>
      <c r="D86" s="55">
        <f t="shared" si="6"/>
        <v>31000</v>
      </c>
      <c r="E86" s="55">
        <f t="shared" si="7"/>
        <v>23500</v>
      </c>
      <c r="F86" s="55">
        <f t="shared" si="8"/>
        <v>16000</v>
      </c>
      <c r="G86" s="55">
        <f t="shared" si="9"/>
        <v>8500</v>
      </c>
      <c r="H86" s="55">
        <f t="shared" si="10"/>
        <v>1000</v>
      </c>
      <c r="I86" s="62">
        <v>75</v>
      </c>
    </row>
    <row r="87" spans="3:9" x14ac:dyDescent="0.75">
      <c r="C87" s="55">
        <f t="shared" si="11"/>
        <v>38200</v>
      </c>
      <c r="D87" s="55">
        <f t="shared" si="6"/>
        <v>30600</v>
      </c>
      <c r="E87" s="55">
        <f t="shared" si="7"/>
        <v>23000</v>
      </c>
      <c r="F87" s="55">
        <f t="shared" si="8"/>
        <v>15400</v>
      </c>
      <c r="G87" s="55">
        <f t="shared" si="9"/>
        <v>7800</v>
      </c>
      <c r="H87" s="55">
        <f t="shared" si="10"/>
        <v>200</v>
      </c>
      <c r="I87" s="62">
        <v>76</v>
      </c>
    </row>
    <row r="88" spans="3:9" x14ac:dyDescent="0.75">
      <c r="C88" s="55">
        <f t="shared" si="11"/>
        <v>37900</v>
      </c>
      <c r="D88" s="55">
        <f t="shared" si="6"/>
        <v>30200</v>
      </c>
      <c r="E88" s="55">
        <f t="shared" si="7"/>
        <v>22500</v>
      </c>
      <c r="F88" s="55">
        <f t="shared" si="8"/>
        <v>14800</v>
      </c>
      <c r="G88" s="55">
        <f t="shared" si="9"/>
        <v>7100</v>
      </c>
      <c r="H88" s="55">
        <f t="shared" si="10"/>
        <v>-600</v>
      </c>
      <c r="I88" s="62">
        <v>77</v>
      </c>
    </row>
    <row r="89" spans="3:9" x14ac:dyDescent="0.75">
      <c r="C89" s="55">
        <f t="shared" si="11"/>
        <v>37600</v>
      </c>
      <c r="D89" s="55">
        <f t="shared" si="6"/>
        <v>29800</v>
      </c>
      <c r="E89" s="55">
        <f t="shared" si="7"/>
        <v>22000</v>
      </c>
      <c r="F89" s="55">
        <f t="shared" si="8"/>
        <v>14200</v>
      </c>
      <c r="G89" s="55">
        <f t="shared" si="9"/>
        <v>6400</v>
      </c>
      <c r="H89" s="55">
        <f t="shared" si="10"/>
        <v>-1400</v>
      </c>
      <c r="I89" s="62">
        <v>78</v>
      </c>
    </row>
    <row r="90" spans="3:9" x14ac:dyDescent="0.75">
      <c r="C90" s="55">
        <f t="shared" si="11"/>
        <v>37300</v>
      </c>
      <c r="D90" s="55">
        <f t="shared" si="6"/>
        <v>29400</v>
      </c>
      <c r="E90" s="55">
        <f t="shared" si="7"/>
        <v>21500</v>
      </c>
      <c r="F90" s="55">
        <f t="shared" si="8"/>
        <v>13600</v>
      </c>
      <c r="G90" s="55">
        <f t="shared" si="9"/>
        <v>5700</v>
      </c>
      <c r="H90" s="55">
        <f t="shared" si="10"/>
        <v>-2200</v>
      </c>
      <c r="I90" s="62">
        <v>79</v>
      </c>
    </row>
    <row r="91" spans="3:9" x14ac:dyDescent="0.75">
      <c r="C91" s="55">
        <f t="shared" si="11"/>
        <v>37000</v>
      </c>
      <c r="D91" s="55">
        <f t="shared" si="6"/>
        <v>29000</v>
      </c>
      <c r="E91" s="55">
        <f t="shared" si="7"/>
        <v>21000</v>
      </c>
      <c r="F91" s="55">
        <f t="shared" si="8"/>
        <v>13000</v>
      </c>
      <c r="G91" s="55">
        <f t="shared" si="9"/>
        <v>5000</v>
      </c>
      <c r="H91" s="55">
        <f t="shared" si="10"/>
        <v>-3000</v>
      </c>
      <c r="I91" s="62">
        <v>80</v>
      </c>
    </row>
    <row r="92" spans="3:9" x14ac:dyDescent="0.75">
      <c r="C92" s="55">
        <f t="shared" si="11"/>
        <v>36700</v>
      </c>
      <c r="D92" s="55">
        <f t="shared" si="6"/>
        <v>28600</v>
      </c>
      <c r="E92" s="55">
        <f t="shared" si="7"/>
        <v>20500</v>
      </c>
      <c r="F92" s="55">
        <f t="shared" si="8"/>
        <v>12400</v>
      </c>
      <c r="G92" s="55">
        <f t="shared" si="9"/>
        <v>4300</v>
      </c>
      <c r="H92" s="55">
        <f t="shared" si="10"/>
        <v>-3800</v>
      </c>
      <c r="I92" s="62">
        <v>81</v>
      </c>
    </row>
    <row r="93" spans="3:9" x14ac:dyDescent="0.75">
      <c r="C93" s="55">
        <f t="shared" si="11"/>
        <v>36400</v>
      </c>
      <c r="D93" s="55">
        <f t="shared" si="6"/>
        <v>28200</v>
      </c>
      <c r="E93" s="55">
        <f t="shared" si="7"/>
        <v>20000</v>
      </c>
      <c r="F93" s="55">
        <f t="shared" si="8"/>
        <v>11800</v>
      </c>
      <c r="G93" s="55">
        <f t="shared" si="9"/>
        <v>3600</v>
      </c>
      <c r="H93" s="55">
        <f t="shared" si="10"/>
        <v>-4600</v>
      </c>
      <c r="I93" s="62">
        <v>82</v>
      </c>
    </row>
    <row r="94" spans="3:9" x14ac:dyDescent="0.75">
      <c r="C94" s="55">
        <f t="shared" si="11"/>
        <v>36100</v>
      </c>
      <c r="D94" s="55">
        <f t="shared" si="6"/>
        <v>27800</v>
      </c>
      <c r="E94" s="55">
        <f t="shared" si="7"/>
        <v>19500</v>
      </c>
      <c r="F94" s="55">
        <f t="shared" si="8"/>
        <v>11200</v>
      </c>
      <c r="G94" s="55">
        <f t="shared" si="9"/>
        <v>2900</v>
      </c>
      <c r="H94" s="55">
        <f t="shared" si="10"/>
        <v>-5400</v>
      </c>
      <c r="I94" s="62">
        <v>83</v>
      </c>
    </row>
    <row r="95" spans="3:9" x14ac:dyDescent="0.75">
      <c r="C95" s="55">
        <f t="shared" si="11"/>
        <v>35800</v>
      </c>
      <c r="D95" s="55">
        <f t="shared" si="6"/>
        <v>27400</v>
      </c>
      <c r="E95" s="55">
        <f t="shared" si="7"/>
        <v>19000</v>
      </c>
      <c r="F95" s="55">
        <f t="shared" si="8"/>
        <v>10600</v>
      </c>
      <c r="G95" s="55">
        <f t="shared" si="9"/>
        <v>2200</v>
      </c>
      <c r="H95" s="55">
        <f t="shared" si="10"/>
        <v>-6200</v>
      </c>
      <c r="I95" s="62">
        <v>84</v>
      </c>
    </row>
    <row r="96" spans="3:9" x14ac:dyDescent="0.75">
      <c r="C96" s="55">
        <f t="shared" si="11"/>
        <v>35500</v>
      </c>
      <c r="D96" s="55">
        <f t="shared" si="6"/>
        <v>27000</v>
      </c>
      <c r="E96" s="55">
        <f t="shared" si="7"/>
        <v>18500</v>
      </c>
      <c r="F96" s="55">
        <f t="shared" si="8"/>
        <v>10000</v>
      </c>
      <c r="G96" s="55">
        <f t="shared" si="9"/>
        <v>1500</v>
      </c>
      <c r="H96" s="55">
        <f t="shared" si="10"/>
        <v>-7000</v>
      </c>
      <c r="I96" s="62">
        <v>85</v>
      </c>
    </row>
    <row r="97" spans="3:9" x14ac:dyDescent="0.75">
      <c r="C97" s="55">
        <f t="shared" si="11"/>
        <v>35200</v>
      </c>
      <c r="D97" s="55">
        <f t="shared" si="6"/>
        <v>26600</v>
      </c>
      <c r="E97" s="55">
        <f t="shared" si="7"/>
        <v>18000</v>
      </c>
      <c r="F97" s="55">
        <f t="shared" si="8"/>
        <v>9400</v>
      </c>
      <c r="G97" s="55">
        <f t="shared" si="9"/>
        <v>800</v>
      </c>
      <c r="H97" s="55">
        <f t="shared" si="10"/>
        <v>-7800</v>
      </c>
      <c r="I97" s="62">
        <v>86</v>
      </c>
    </row>
    <row r="98" spans="3:9" x14ac:dyDescent="0.75">
      <c r="C98" s="55">
        <f t="shared" si="11"/>
        <v>34900</v>
      </c>
      <c r="D98" s="55">
        <f t="shared" si="6"/>
        <v>26200</v>
      </c>
      <c r="E98" s="55">
        <f t="shared" si="7"/>
        <v>17500</v>
      </c>
      <c r="F98" s="55">
        <f t="shared" si="8"/>
        <v>8800</v>
      </c>
      <c r="G98" s="55">
        <f t="shared" si="9"/>
        <v>100</v>
      </c>
      <c r="H98" s="55">
        <f t="shared" si="10"/>
        <v>-8600</v>
      </c>
      <c r="I98" s="62">
        <v>87</v>
      </c>
    </row>
    <row r="99" spans="3:9" x14ac:dyDescent="0.75">
      <c r="C99" s="55">
        <f t="shared" si="11"/>
        <v>34600</v>
      </c>
      <c r="D99" s="55">
        <f t="shared" si="6"/>
        <v>25800</v>
      </c>
      <c r="E99" s="55">
        <f t="shared" si="7"/>
        <v>17000</v>
      </c>
      <c r="F99" s="55">
        <f t="shared" si="8"/>
        <v>8200</v>
      </c>
      <c r="G99" s="55">
        <f t="shared" si="9"/>
        <v>-600</v>
      </c>
      <c r="H99" s="55">
        <f t="shared" si="10"/>
        <v>-9400</v>
      </c>
      <c r="I99" s="62">
        <v>88</v>
      </c>
    </row>
    <row r="100" spans="3:9" x14ac:dyDescent="0.75">
      <c r="C100" s="55">
        <f t="shared" si="11"/>
        <v>34300</v>
      </c>
      <c r="D100" s="55">
        <f t="shared" si="6"/>
        <v>25400</v>
      </c>
      <c r="E100" s="55">
        <f t="shared" si="7"/>
        <v>16500</v>
      </c>
      <c r="F100" s="55">
        <f t="shared" si="8"/>
        <v>7600</v>
      </c>
      <c r="G100" s="55">
        <f t="shared" si="9"/>
        <v>-1300</v>
      </c>
      <c r="H100" s="55">
        <f t="shared" si="10"/>
        <v>-10200</v>
      </c>
      <c r="I100" s="62">
        <v>89</v>
      </c>
    </row>
    <row r="101" spans="3:9" x14ac:dyDescent="0.75">
      <c r="C101" s="55">
        <f t="shared" si="11"/>
        <v>34000</v>
      </c>
      <c r="D101" s="55">
        <f t="shared" si="6"/>
        <v>25000</v>
      </c>
      <c r="E101" s="55">
        <f t="shared" si="7"/>
        <v>16000</v>
      </c>
      <c r="F101" s="55">
        <f t="shared" si="8"/>
        <v>7000</v>
      </c>
      <c r="G101" s="55">
        <f t="shared" si="9"/>
        <v>-2000</v>
      </c>
      <c r="H101" s="55">
        <f t="shared" si="10"/>
        <v>-11000</v>
      </c>
      <c r="I101" s="62">
        <v>90</v>
      </c>
    </row>
    <row r="102" spans="3:9" x14ac:dyDescent="0.75">
      <c r="C102" s="55">
        <f t="shared" si="11"/>
        <v>33700</v>
      </c>
      <c r="D102" s="55">
        <f t="shared" si="6"/>
        <v>24600</v>
      </c>
      <c r="E102" s="55">
        <f t="shared" si="7"/>
        <v>15500</v>
      </c>
      <c r="F102" s="55">
        <f t="shared" si="8"/>
        <v>6400</v>
      </c>
      <c r="G102" s="55">
        <f t="shared" si="9"/>
        <v>-2700</v>
      </c>
      <c r="H102" s="55">
        <f t="shared" si="10"/>
        <v>-11800</v>
      </c>
      <c r="I102" s="62">
        <v>91</v>
      </c>
    </row>
    <row r="103" spans="3:9" x14ac:dyDescent="0.75">
      <c r="C103" s="55">
        <f t="shared" si="11"/>
        <v>33400</v>
      </c>
      <c r="D103" s="55">
        <f t="shared" si="6"/>
        <v>24200</v>
      </c>
      <c r="E103" s="55">
        <f t="shared" si="7"/>
        <v>15000</v>
      </c>
      <c r="F103" s="55">
        <f t="shared" si="8"/>
        <v>5800</v>
      </c>
      <c r="G103" s="55">
        <f t="shared" si="9"/>
        <v>-3400</v>
      </c>
      <c r="H103" s="55">
        <f t="shared" si="10"/>
        <v>-12600</v>
      </c>
      <c r="I103" s="62">
        <v>92</v>
      </c>
    </row>
    <row r="104" spans="3:9" x14ac:dyDescent="0.75">
      <c r="C104" s="55">
        <f t="shared" si="11"/>
        <v>33100</v>
      </c>
      <c r="D104" s="55">
        <f t="shared" si="6"/>
        <v>23800</v>
      </c>
      <c r="E104" s="55">
        <f t="shared" si="7"/>
        <v>14500</v>
      </c>
      <c r="F104" s="55">
        <f t="shared" si="8"/>
        <v>5200</v>
      </c>
      <c r="G104" s="55">
        <f t="shared" si="9"/>
        <v>-4100</v>
      </c>
      <c r="H104" s="55">
        <f t="shared" si="10"/>
        <v>-13400</v>
      </c>
      <c r="I104" s="62">
        <v>93</v>
      </c>
    </row>
    <row r="105" spans="3:9" x14ac:dyDescent="0.75">
      <c r="C105" s="55">
        <f t="shared" si="11"/>
        <v>32800</v>
      </c>
      <c r="D105" s="55">
        <f t="shared" si="6"/>
        <v>23400</v>
      </c>
      <c r="E105" s="55">
        <f t="shared" si="7"/>
        <v>14000</v>
      </c>
      <c r="F105" s="55">
        <f t="shared" si="8"/>
        <v>4600</v>
      </c>
      <c r="G105" s="55">
        <f t="shared" si="9"/>
        <v>-4800</v>
      </c>
      <c r="H105" s="55">
        <f t="shared" si="10"/>
        <v>-14200</v>
      </c>
      <c r="I105" s="62">
        <v>94</v>
      </c>
    </row>
    <row r="106" spans="3:9" x14ac:dyDescent="0.75">
      <c r="C106" s="55">
        <f t="shared" si="11"/>
        <v>32500</v>
      </c>
      <c r="D106" s="55">
        <f t="shared" si="6"/>
        <v>23000</v>
      </c>
      <c r="E106" s="55">
        <f t="shared" si="7"/>
        <v>13500</v>
      </c>
      <c r="F106" s="55">
        <f t="shared" si="8"/>
        <v>4000</v>
      </c>
      <c r="G106" s="55">
        <f t="shared" si="9"/>
        <v>-5500</v>
      </c>
      <c r="H106" s="55">
        <f t="shared" si="10"/>
        <v>-15000</v>
      </c>
      <c r="I106" s="62">
        <v>95</v>
      </c>
    </row>
    <row r="107" spans="3:9" x14ac:dyDescent="0.75">
      <c r="C107" s="55">
        <f t="shared" si="11"/>
        <v>32200</v>
      </c>
      <c r="D107" s="55">
        <f t="shared" si="6"/>
        <v>22600</v>
      </c>
      <c r="E107" s="55">
        <f t="shared" si="7"/>
        <v>13000</v>
      </c>
      <c r="F107" s="55">
        <f t="shared" si="8"/>
        <v>3400</v>
      </c>
      <c r="G107" s="55">
        <f t="shared" si="9"/>
        <v>-6200</v>
      </c>
      <c r="H107" s="55">
        <f t="shared" si="10"/>
        <v>-15800</v>
      </c>
      <c r="I107" s="62">
        <v>96</v>
      </c>
    </row>
    <row r="108" spans="3:9" x14ac:dyDescent="0.75">
      <c r="C108" s="55">
        <f t="shared" si="11"/>
        <v>31900</v>
      </c>
      <c r="D108" s="55">
        <f t="shared" si="6"/>
        <v>22200</v>
      </c>
      <c r="E108" s="55">
        <f t="shared" si="7"/>
        <v>12500</v>
      </c>
      <c r="F108" s="55">
        <f t="shared" si="8"/>
        <v>2800</v>
      </c>
      <c r="G108" s="55">
        <f t="shared" si="9"/>
        <v>-6900</v>
      </c>
      <c r="H108" s="55">
        <f t="shared" si="10"/>
        <v>-16600</v>
      </c>
      <c r="I108" s="62">
        <v>97</v>
      </c>
    </row>
    <row r="109" spans="3:9" x14ac:dyDescent="0.75">
      <c r="C109" s="55">
        <f t="shared" si="11"/>
        <v>31600</v>
      </c>
      <c r="D109" s="55">
        <f t="shared" si="6"/>
        <v>21800</v>
      </c>
      <c r="E109" s="55">
        <f t="shared" si="7"/>
        <v>12000</v>
      </c>
      <c r="F109" s="55">
        <f t="shared" si="8"/>
        <v>2200</v>
      </c>
      <c r="G109" s="55">
        <f t="shared" si="9"/>
        <v>-7600</v>
      </c>
      <c r="H109" s="55">
        <f t="shared" si="10"/>
        <v>-17400</v>
      </c>
      <c r="I109" s="62">
        <v>98</v>
      </c>
    </row>
    <row r="110" spans="3:9" x14ac:dyDescent="0.75">
      <c r="C110" s="55">
        <f t="shared" si="11"/>
        <v>31300</v>
      </c>
      <c r="D110" s="55">
        <f t="shared" si="6"/>
        <v>21400</v>
      </c>
      <c r="E110" s="55">
        <f t="shared" si="7"/>
        <v>11500</v>
      </c>
      <c r="F110" s="55">
        <f t="shared" si="8"/>
        <v>1600</v>
      </c>
      <c r="G110" s="55">
        <f t="shared" si="9"/>
        <v>-8300</v>
      </c>
      <c r="H110" s="55">
        <f t="shared" si="10"/>
        <v>-18200</v>
      </c>
      <c r="I110" s="62">
        <v>99</v>
      </c>
    </row>
    <row r="111" spans="3:9" x14ac:dyDescent="0.75">
      <c r="C111" s="55">
        <f t="shared" si="11"/>
        <v>31000</v>
      </c>
      <c r="D111" s="55">
        <f t="shared" si="6"/>
        <v>21000</v>
      </c>
      <c r="E111" s="55">
        <f t="shared" si="7"/>
        <v>11000</v>
      </c>
      <c r="F111" s="55">
        <f t="shared" si="8"/>
        <v>1000</v>
      </c>
      <c r="G111" s="55">
        <f t="shared" si="9"/>
        <v>-9000</v>
      </c>
      <c r="H111" s="55">
        <f t="shared" si="10"/>
        <v>-19000</v>
      </c>
      <c r="I111" s="62">
        <v>100</v>
      </c>
    </row>
    <row r="112" spans="3:9" x14ac:dyDescent="0.75">
      <c r="C112" s="55">
        <f t="shared" si="11"/>
        <v>30700</v>
      </c>
      <c r="D112" s="55">
        <f t="shared" si="6"/>
        <v>20600</v>
      </c>
      <c r="E112" s="55">
        <f t="shared" si="7"/>
        <v>10500</v>
      </c>
      <c r="F112" s="55">
        <f t="shared" si="8"/>
        <v>400</v>
      </c>
      <c r="G112" s="55">
        <f t="shared" si="9"/>
        <v>-9700</v>
      </c>
      <c r="H112" s="55">
        <f t="shared" si="10"/>
        <v>-19800</v>
      </c>
      <c r="I112" s="62">
        <v>101</v>
      </c>
    </row>
    <row r="113" spans="3:9" x14ac:dyDescent="0.75">
      <c r="C113" s="55">
        <f t="shared" si="11"/>
        <v>30400</v>
      </c>
      <c r="D113" s="55">
        <f t="shared" si="6"/>
        <v>20200</v>
      </c>
      <c r="E113" s="55">
        <f t="shared" si="7"/>
        <v>10000</v>
      </c>
      <c r="F113" s="55">
        <f t="shared" si="8"/>
        <v>-200</v>
      </c>
      <c r="G113" s="55">
        <f t="shared" si="9"/>
        <v>-10400</v>
      </c>
      <c r="H113" s="55">
        <f t="shared" si="10"/>
        <v>-20600</v>
      </c>
      <c r="I113" s="62">
        <v>102</v>
      </c>
    </row>
    <row r="114" spans="3:9" x14ac:dyDescent="0.75">
      <c r="C114" s="55">
        <f t="shared" si="11"/>
        <v>30100</v>
      </c>
      <c r="D114" s="55">
        <f t="shared" si="6"/>
        <v>19800</v>
      </c>
      <c r="E114" s="55">
        <f t="shared" si="7"/>
        <v>9500</v>
      </c>
      <c r="F114" s="55">
        <f t="shared" si="8"/>
        <v>-800</v>
      </c>
      <c r="G114" s="55">
        <f t="shared" si="9"/>
        <v>-11100</v>
      </c>
      <c r="H114" s="55">
        <f t="shared" si="10"/>
        <v>-21400</v>
      </c>
      <c r="I114" s="62">
        <v>103</v>
      </c>
    </row>
    <row r="115" spans="3:9" x14ac:dyDescent="0.75">
      <c r="C115" s="55">
        <f t="shared" si="11"/>
        <v>29800</v>
      </c>
      <c r="D115" s="55">
        <f t="shared" si="6"/>
        <v>19400</v>
      </c>
      <c r="E115" s="55">
        <f t="shared" si="7"/>
        <v>9000</v>
      </c>
      <c r="F115" s="55">
        <f t="shared" si="8"/>
        <v>-1400</v>
      </c>
      <c r="G115" s="55">
        <f t="shared" si="9"/>
        <v>-11800</v>
      </c>
      <c r="H115" s="55">
        <f t="shared" si="10"/>
        <v>-22200</v>
      </c>
      <c r="I115" s="62">
        <v>104</v>
      </c>
    </row>
    <row r="116" spans="3:9" x14ac:dyDescent="0.75">
      <c r="C116" s="55">
        <f t="shared" si="11"/>
        <v>29500</v>
      </c>
      <c r="D116" s="55">
        <f t="shared" si="6"/>
        <v>19000</v>
      </c>
      <c r="E116" s="55">
        <f t="shared" si="7"/>
        <v>8500</v>
      </c>
      <c r="F116" s="55">
        <f t="shared" si="8"/>
        <v>-2000</v>
      </c>
      <c r="G116" s="55">
        <f t="shared" si="9"/>
        <v>-12500</v>
      </c>
      <c r="H116" s="55">
        <f t="shared" si="10"/>
        <v>-23000</v>
      </c>
      <c r="I116" s="62">
        <v>105</v>
      </c>
    </row>
    <row r="117" spans="3:9" x14ac:dyDescent="0.75">
      <c r="C117" s="55">
        <f t="shared" si="11"/>
        <v>29200</v>
      </c>
      <c r="D117" s="55">
        <f t="shared" si="6"/>
        <v>18600</v>
      </c>
      <c r="E117" s="55">
        <f t="shared" si="7"/>
        <v>8000</v>
      </c>
      <c r="F117" s="55">
        <f t="shared" si="8"/>
        <v>-2600</v>
      </c>
      <c r="G117" s="55">
        <f t="shared" si="9"/>
        <v>-13200</v>
      </c>
      <c r="H117" s="55">
        <f t="shared" si="10"/>
        <v>-23800</v>
      </c>
      <c r="I117" s="62">
        <v>106</v>
      </c>
    </row>
    <row r="118" spans="3:9" x14ac:dyDescent="0.75">
      <c r="C118" s="55">
        <f t="shared" si="11"/>
        <v>28900</v>
      </c>
      <c r="D118" s="55">
        <f t="shared" si="6"/>
        <v>18200</v>
      </c>
      <c r="E118" s="55">
        <f t="shared" si="7"/>
        <v>7500</v>
      </c>
      <c r="F118" s="55">
        <f t="shared" si="8"/>
        <v>-3200</v>
      </c>
      <c r="G118" s="55">
        <f t="shared" si="9"/>
        <v>-13900</v>
      </c>
      <c r="H118" s="55">
        <f t="shared" si="10"/>
        <v>-24600</v>
      </c>
      <c r="I118" s="62">
        <v>107</v>
      </c>
    </row>
    <row r="119" spans="3:9" x14ac:dyDescent="0.75">
      <c r="C119" s="55">
        <f t="shared" si="11"/>
        <v>28600</v>
      </c>
      <c r="D119" s="55">
        <f t="shared" si="6"/>
        <v>17800</v>
      </c>
      <c r="E119" s="55">
        <f t="shared" si="7"/>
        <v>7000</v>
      </c>
      <c r="F119" s="55">
        <f t="shared" si="8"/>
        <v>-3800</v>
      </c>
      <c r="G119" s="55">
        <f t="shared" si="9"/>
        <v>-14600</v>
      </c>
      <c r="H119" s="55">
        <f t="shared" si="10"/>
        <v>-25400</v>
      </c>
      <c r="I119" s="62">
        <v>108</v>
      </c>
    </row>
    <row r="120" spans="3:9" x14ac:dyDescent="0.75">
      <c r="C120" s="55">
        <f t="shared" si="11"/>
        <v>28300</v>
      </c>
      <c r="D120" s="55">
        <f t="shared" si="6"/>
        <v>17400</v>
      </c>
      <c r="E120" s="55">
        <f t="shared" si="7"/>
        <v>6500</v>
      </c>
      <c r="F120" s="55">
        <f t="shared" si="8"/>
        <v>-4400</v>
      </c>
      <c r="G120" s="55">
        <f t="shared" si="9"/>
        <v>-15300</v>
      </c>
      <c r="H120" s="55">
        <f t="shared" si="10"/>
        <v>-26200</v>
      </c>
      <c r="I120" s="62">
        <v>109</v>
      </c>
    </row>
    <row r="121" spans="3:9" x14ac:dyDescent="0.75">
      <c r="C121" s="55">
        <f t="shared" si="11"/>
        <v>28000</v>
      </c>
      <c r="D121" s="55">
        <f t="shared" si="6"/>
        <v>17000</v>
      </c>
      <c r="E121" s="55">
        <f t="shared" si="7"/>
        <v>6000</v>
      </c>
      <c r="F121" s="55">
        <f t="shared" si="8"/>
        <v>-5000</v>
      </c>
      <c r="G121" s="55">
        <f t="shared" si="9"/>
        <v>-16000</v>
      </c>
      <c r="H121" s="55">
        <f t="shared" si="10"/>
        <v>-27000</v>
      </c>
      <c r="I121" s="62">
        <v>110</v>
      </c>
    </row>
    <row r="122" spans="3:9" x14ac:dyDescent="0.75">
      <c r="C122" s="55">
        <f t="shared" si="11"/>
        <v>27700</v>
      </c>
      <c r="D122" s="55">
        <f t="shared" si="6"/>
        <v>16600</v>
      </c>
      <c r="E122" s="55">
        <f t="shared" si="7"/>
        <v>5500</v>
      </c>
      <c r="F122" s="55">
        <f t="shared" si="8"/>
        <v>-5600</v>
      </c>
      <c r="G122" s="55">
        <f t="shared" si="9"/>
        <v>-16700</v>
      </c>
      <c r="H122" s="55">
        <f t="shared" si="10"/>
        <v>-27800</v>
      </c>
      <c r="I122" s="62">
        <v>111</v>
      </c>
    </row>
    <row r="123" spans="3:9" x14ac:dyDescent="0.75">
      <c r="C123" s="55">
        <f t="shared" si="11"/>
        <v>27400</v>
      </c>
      <c r="D123" s="55">
        <f t="shared" si="6"/>
        <v>16200</v>
      </c>
      <c r="E123" s="55">
        <f t="shared" si="7"/>
        <v>5000</v>
      </c>
      <c r="F123" s="55">
        <f t="shared" si="8"/>
        <v>-6200</v>
      </c>
      <c r="G123" s="55">
        <f t="shared" si="9"/>
        <v>-17400</v>
      </c>
      <c r="H123" s="55">
        <f t="shared" si="10"/>
        <v>-28600</v>
      </c>
      <c r="I123" s="62">
        <v>112</v>
      </c>
    </row>
    <row r="124" spans="3:9" x14ac:dyDescent="0.75">
      <c r="C124" s="55">
        <f t="shared" si="11"/>
        <v>27100</v>
      </c>
      <c r="D124" s="55">
        <f t="shared" si="6"/>
        <v>15800</v>
      </c>
      <c r="E124" s="55">
        <f t="shared" si="7"/>
        <v>4500</v>
      </c>
      <c r="F124" s="55">
        <f t="shared" si="8"/>
        <v>-6800</v>
      </c>
      <c r="G124" s="55">
        <f t="shared" si="9"/>
        <v>-18100</v>
      </c>
      <c r="H124" s="55">
        <f t="shared" si="10"/>
        <v>-29400</v>
      </c>
      <c r="I124" s="62">
        <v>113</v>
      </c>
    </row>
    <row r="125" spans="3:9" x14ac:dyDescent="0.75">
      <c r="C125" s="55">
        <f t="shared" si="11"/>
        <v>26800</v>
      </c>
      <c r="D125" s="55">
        <f t="shared" si="6"/>
        <v>15400</v>
      </c>
      <c r="E125" s="55">
        <f t="shared" si="7"/>
        <v>4000</v>
      </c>
      <c r="F125" s="55">
        <f t="shared" si="8"/>
        <v>-7400</v>
      </c>
      <c r="G125" s="55">
        <f t="shared" si="9"/>
        <v>-18800</v>
      </c>
      <c r="H125" s="55">
        <f t="shared" si="10"/>
        <v>-30200</v>
      </c>
      <c r="I125" s="62">
        <v>114</v>
      </c>
    </row>
    <row r="126" spans="3:9" x14ac:dyDescent="0.75">
      <c r="C126" s="55">
        <f t="shared" si="11"/>
        <v>26500</v>
      </c>
      <c r="D126" s="55">
        <f t="shared" si="6"/>
        <v>15000</v>
      </c>
      <c r="E126" s="55">
        <f t="shared" si="7"/>
        <v>3500</v>
      </c>
      <c r="F126" s="55">
        <f t="shared" si="8"/>
        <v>-8000</v>
      </c>
      <c r="G126" s="55">
        <f t="shared" si="9"/>
        <v>-19500</v>
      </c>
      <c r="H126" s="55">
        <f t="shared" si="10"/>
        <v>-31000</v>
      </c>
      <c r="I126" s="62">
        <v>115</v>
      </c>
    </row>
    <row r="127" spans="3:9" x14ac:dyDescent="0.75">
      <c r="C127" s="55">
        <f t="shared" si="11"/>
        <v>26200</v>
      </c>
      <c r="D127" s="55">
        <f t="shared" si="6"/>
        <v>14600</v>
      </c>
      <c r="E127" s="55">
        <f t="shared" si="7"/>
        <v>3000</v>
      </c>
      <c r="F127" s="55">
        <f t="shared" si="8"/>
        <v>-8600</v>
      </c>
      <c r="G127" s="55">
        <f t="shared" si="9"/>
        <v>-20200</v>
      </c>
      <c r="H127" s="55">
        <f t="shared" si="10"/>
        <v>-31800</v>
      </c>
      <c r="I127" s="62">
        <v>116</v>
      </c>
    </row>
    <row r="128" spans="3:9" x14ac:dyDescent="0.75">
      <c r="C128" s="55">
        <f t="shared" si="11"/>
        <v>25900</v>
      </c>
      <c r="D128" s="55">
        <f t="shared" si="6"/>
        <v>14200</v>
      </c>
      <c r="E128" s="55">
        <f t="shared" si="7"/>
        <v>2500</v>
      </c>
      <c r="F128" s="55">
        <f t="shared" si="8"/>
        <v>-9200</v>
      </c>
      <c r="G128" s="55">
        <f t="shared" si="9"/>
        <v>-20900</v>
      </c>
      <c r="H128" s="55">
        <f t="shared" si="10"/>
        <v>-32600</v>
      </c>
      <c r="I128" s="62">
        <v>117</v>
      </c>
    </row>
    <row r="129" spans="3:9" x14ac:dyDescent="0.75">
      <c r="C129" s="55">
        <f t="shared" si="11"/>
        <v>25600</v>
      </c>
      <c r="D129" s="55">
        <f t="shared" si="6"/>
        <v>13800</v>
      </c>
      <c r="E129" s="55">
        <f t="shared" si="7"/>
        <v>2000</v>
      </c>
      <c r="F129" s="55">
        <f t="shared" si="8"/>
        <v>-9800</v>
      </c>
      <c r="G129" s="55">
        <f t="shared" si="9"/>
        <v>-21600</v>
      </c>
      <c r="H129" s="55">
        <f t="shared" si="10"/>
        <v>-33400</v>
      </c>
      <c r="I129" s="62">
        <v>118</v>
      </c>
    </row>
    <row r="130" spans="3:9" x14ac:dyDescent="0.75">
      <c r="C130" s="55">
        <f t="shared" si="11"/>
        <v>25300</v>
      </c>
      <c r="D130" s="55">
        <f t="shared" si="6"/>
        <v>13400</v>
      </c>
      <c r="E130" s="55">
        <f t="shared" si="7"/>
        <v>1500</v>
      </c>
      <c r="F130" s="55">
        <f t="shared" si="8"/>
        <v>-10400</v>
      </c>
      <c r="G130" s="55">
        <f t="shared" si="9"/>
        <v>-22300</v>
      </c>
      <c r="H130" s="55">
        <f t="shared" si="10"/>
        <v>-34200</v>
      </c>
      <c r="I130" s="62">
        <v>119</v>
      </c>
    </row>
    <row r="131" spans="3:9" x14ac:dyDescent="0.75">
      <c r="C131" s="55">
        <f t="shared" si="11"/>
        <v>25000</v>
      </c>
      <c r="D131" s="55">
        <f t="shared" si="6"/>
        <v>13000</v>
      </c>
      <c r="E131" s="55">
        <f t="shared" si="7"/>
        <v>1000</v>
      </c>
      <c r="F131" s="55">
        <f t="shared" si="8"/>
        <v>-11000</v>
      </c>
      <c r="G131" s="55">
        <f t="shared" si="9"/>
        <v>-23000</v>
      </c>
      <c r="H131" s="55">
        <f t="shared" si="10"/>
        <v>-35000</v>
      </c>
      <c r="I131" s="62">
        <v>120</v>
      </c>
    </row>
    <row r="132" spans="3:9" x14ac:dyDescent="0.75">
      <c r="C132" s="55">
        <f t="shared" si="11"/>
        <v>24700</v>
      </c>
      <c r="D132" s="55">
        <f t="shared" si="6"/>
        <v>12600</v>
      </c>
      <c r="E132" s="55">
        <f t="shared" si="7"/>
        <v>500</v>
      </c>
      <c r="F132" s="55">
        <f t="shared" si="8"/>
        <v>-11600</v>
      </c>
      <c r="G132" s="55">
        <f t="shared" si="9"/>
        <v>-23700</v>
      </c>
      <c r="H132" s="55">
        <f t="shared" si="10"/>
        <v>-35800</v>
      </c>
      <c r="I132" s="62">
        <v>121</v>
      </c>
    </row>
    <row r="133" spans="3:9" x14ac:dyDescent="0.75">
      <c r="C133" s="55">
        <f t="shared" si="11"/>
        <v>24400</v>
      </c>
      <c r="D133" s="55">
        <f t="shared" si="6"/>
        <v>12200</v>
      </c>
      <c r="E133" s="55">
        <f t="shared" si="7"/>
        <v>0</v>
      </c>
      <c r="F133" s="55">
        <f t="shared" si="8"/>
        <v>-12200</v>
      </c>
      <c r="G133" s="55">
        <f t="shared" si="9"/>
        <v>-24400</v>
      </c>
      <c r="H133" s="55">
        <f t="shared" si="10"/>
        <v>-36600</v>
      </c>
      <c r="I133" s="62">
        <v>122</v>
      </c>
    </row>
    <row r="134" spans="3:9" x14ac:dyDescent="0.75">
      <c r="C134" s="55">
        <f t="shared" si="11"/>
        <v>24100</v>
      </c>
      <c r="D134" s="55">
        <f t="shared" si="6"/>
        <v>11800</v>
      </c>
      <c r="E134" s="55">
        <f t="shared" si="7"/>
        <v>-500</v>
      </c>
      <c r="F134" s="55">
        <f t="shared" si="8"/>
        <v>-12800</v>
      </c>
      <c r="G134" s="55">
        <f t="shared" si="9"/>
        <v>-25100</v>
      </c>
      <c r="H134" s="55">
        <f t="shared" si="10"/>
        <v>-37400</v>
      </c>
      <c r="I134" s="62">
        <v>123</v>
      </c>
    </row>
    <row r="135" spans="3:9" x14ac:dyDescent="0.75">
      <c r="C135" s="55">
        <f t="shared" si="11"/>
        <v>23800</v>
      </c>
      <c r="D135" s="55">
        <f t="shared" si="6"/>
        <v>11400</v>
      </c>
      <c r="E135" s="55">
        <f t="shared" si="7"/>
        <v>-1000</v>
      </c>
      <c r="F135" s="55">
        <f t="shared" si="8"/>
        <v>-13400</v>
      </c>
      <c r="G135" s="55">
        <f t="shared" si="9"/>
        <v>-25800</v>
      </c>
      <c r="H135" s="55">
        <f t="shared" si="10"/>
        <v>-38200</v>
      </c>
      <c r="I135" s="62">
        <v>124</v>
      </c>
    </row>
    <row r="136" spans="3:9" x14ac:dyDescent="0.75">
      <c r="C136" s="55">
        <f t="shared" si="11"/>
        <v>23500</v>
      </c>
      <c r="D136" s="55">
        <f t="shared" si="6"/>
        <v>11000</v>
      </c>
      <c r="E136" s="55">
        <f t="shared" si="7"/>
        <v>-1500</v>
      </c>
      <c r="F136" s="55">
        <f t="shared" si="8"/>
        <v>-14000</v>
      </c>
      <c r="G136" s="55">
        <f t="shared" si="9"/>
        <v>-26500</v>
      </c>
      <c r="H136" s="55">
        <f t="shared" si="10"/>
        <v>-39000</v>
      </c>
      <c r="I136" s="62">
        <v>125</v>
      </c>
    </row>
    <row r="137" spans="3:9" x14ac:dyDescent="0.75">
      <c r="C137" s="55">
        <f t="shared" si="11"/>
        <v>23200</v>
      </c>
      <c r="D137" s="55">
        <f t="shared" si="6"/>
        <v>10600</v>
      </c>
      <c r="E137" s="55">
        <f t="shared" si="7"/>
        <v>-2000</v>
      </c>
      <c r="F137" s="55">
        <f t="shared" si="8"/>
        <v>-14600</v>
      </c>
      <c r="G137" s="55">
        <f t="shared" si="9"/>
        <v>-27200</v>
      </c>
      <c r="H137" s="55">
        <f t="shared" si="10"/>
        <v>-39800</v>
      </c>
      <c r="I137" s="62">
        <v>126</v>
      </c>
    </row>
    <row r="138" spans="3:9" x14ac:dyDescent="0.75">
      <c r="C138" s="55">
        <f t="shared" si="11"/>
        <v>22900</v>
      </c>
      <c r="D138" s="55">
        <f t="shared" si="6"/>
        <v>10200</v>
      </c>
      <c r="E138" s="55">
        <f t="shared" si="7"/>
        <v>-2500</v>
      </c>
      <c r="F138" s="55">
        <f t="shared" si="8"/>
        <v>-15200</v>
      </c>
      <c r="G138" s="55">
        <f t="shared" si="9"/>
        <v>-27900</v>
      </c>
      <c r="H138" s="55">
        <f t="shared" si="10"/>
        <v>-40600</v>
      </c>
      <c r="I138" s="62">
        <v>127</v>
      </c>
    </row>
    <row r="139" spans="3:9" x14ac:dyDescent="0.75">
      <c r="C139" s="55">
        <f t="shared" si="11"/>
        <v>22600</v>
      </c>
      <c r="D139" s="55">
        <f t="shared" si="6"/>
        <v>9800</v>
      </c>
      <c r="E139" s="55">
        <f t="shared" si="7"/>
        <v>-3000</v>
      </c>
      <c r="F139" s="55">
        <f t="shared" si="8"/>
        <v>-15800</v>
      </c>
      <c r="G139" s="55">
        <f t="shared" si="9"/>
        <v>-28600</v>
      </c>
      <c r="H139" s="55">
        <f t="shared" si="10"/>
        <v>-41400</v>
      </c>
      <c r="I139" s="62">
        <v>128</v>
      </c>
    </row>
    <row r="140" spans="3:9" x14ac:dyDescent="0.75">
      <c r="C140" s="55">
        <f t="shared" si="11"/>
        <v>22300</v>
      </c>
      <c r="D140" s="55">
        <f t="shared" si="6"/>
        <v>9400</v>
      </c>
      <c r="E140" s="55">
        <f t="shared" si="7"/>
        <v>-3500</v>
      </c>
      <c r="F140" s="55">
        <f t="shared" si="8"/>
        <v>-16400</v>
      </c>
      <c r="G140" s="55">
        <f t="shared" si="9"/>
        <v>-29300</v>
      </c>
      <c r="H140" s="55">
        <f t="shared" si="10"/>
        <v>-42200</v>
      </c>
      <c r="I140" s="62">
        <v>129</v>
      </c>
    </row>
    <row r="141" spans="3:9" x14ac:dyDescent="0.75">
      <c r="C141" s="55">
        <f t="shared" si="11"/>
        <v>22000</v>
      </c>
      <c r="D141" s="55">
        <f t="shared" ref="D141:D204" si="12">$D140 - ($D$3-100)</f>
        <v>9000</v>
      </c>
      <c r="E141" s="55">
        <f t="shared" ref="E141:E204" si="13">$E140 - ($D$3)</f>
        <v>-4000</v>
      </c>
      <c r="F141" s="55">
        <f t="shared" ref="F141:F204" si="14">$F140 - ($D$3+100)</f>
        <v>-17000</v>
      </c>
      <c r="G141" s="55">
        <f t="shared" ref="G141:G204" si="15">$G140 - ($D$3+200)</f>
        <v>-30000</v>
      </c>
      <c r="H141" s="55">
        <f t="shared" ref="H141:H204" si="16">$H140 - ($D$3+300)</f>
        <v>-43000</v>
      </c>
      <c r="I141" s="62">
        <v>130</v>
      </c>
    </row>
    <row r="142" spans="3:9" x14ac:dyDescent="0.75">
      <c r="C142" s="55">
        <f t="shared" ref="C142:C168" si="17">$C141 - ($D$3-200)</f>
        <v>21700</v>
      </c>
      <c r="D142" s="55">
        <f t="shared" si="12"/>
        <v>8600</v>
      </c>
      <c r="E142" s="55">
        <f t="shared" si="13"/>
        <v>-4500</v>
      </c>
      <c r="F142" s="55">
        <f t="shared" si="14"/>
        <v>-17600</v>
      </c>
      <c r="G142" s="55">
        <f t="shared" si="15"/>
        <v>-30700</v>
      </c>
      <c r="H142" s="55">
        <f t="shared" si="16"/>
        <v>-43800</v>
      </c>
      <c r="I142" s="62">
        <v>131</v>
      </c>
    </row>
    <row r="143" spans="3:9" x14ac:dyDescent="0.75">
      <c r="C143" s="55">
        <f t="shared" si="17"/>
        <v>21400</v>
      </c>
      <c r="D143" s="55">
        <f t="shared" si="12"/>
        <v>8200</v>
      </c>
      <c r="E143" s="55">
        <f t="shared" si="13"/>
        <v>-5000</v>
      </c>
      <c r="F143" s="55">
        <f t="shared" si="14"/>
        <v>-18200</v>
      </c>
      <c r="G143" s="55">
        <f t="shared" si="15"/>
        <v>-31400</v>
      </c>
      <c r="H143" s="55">
        <f t="shared" si="16"/>
        <v>-44600</v>
      </c>
      <c r="I143" s="62">
        <v>132</v>
      </c>
    </row>
    <row r="144" spans="3:9" x14ac:dyDescent="0.75">
      <c r="C144" s="55">
        <f t="shared" si="17"/>
        <v>21100</v>
      </c>
      <c r="D144" s="55">
        <f t="shared" si="12"/>
        <v>7800</v>
      </c>
      <c r="E144" s="55">
        <f t="shared" si="13"/>
        <v>-5500</v>
      </c>
      <c r="F144" s="55">
        <f t="shared" si="14"/>
        <v>-18800</v>
      </c>
      <c r="G144" s="55">
        <f t="shared" si="15"/>
        <v>-32100</v>
      </c>
      <c r="H144" s="55">
        <f t="shared" si="16"/>
        <v>-45400</v>
      </c>
      <c r="I144" s="62">
        <v>133</v>
      </c>
    </row>
    <row r="145" spans="3:9" x14ac:dyDescent="0.75">
      <c r="C145" s="55">
        <f t="shared" si="17"/>
        <v>20800</v>
      </c>
      <c r="D145" s="55">
        <f t="shared" si="12"/>
        <v>7400</v>
      </c>
      <c r="E145" s="55">
        <f t="shared" si="13"/>
        <v>-6000</v>
      </c>
      <c r="F145" s="55">
        <f t="shared" si="14"/>
        <v>-19400</v>
      </c>
      <c r="G145" s="55">
        <f t="shared" si="15"/>
        <v>-32800</v>
      </c>
      <c r="H145" s="55">
        <f t="shared" si="16"/>
        <v>-46200</v>
      </c>
      <c r="I145" s="62">
        <v>134</v>
      </c>
    </row>
    <row r="146" spans="3:9" x14ac:dyDescent="0.75">
      <c r="C146" s="55">
        <f t="shared" si="17"/>
        <v>20500</v>
      </c>
      <c r="D146" s="55">
        <f t="shared" si="12"/>
        <v>7000</v>
      </c>
      <c r="E146" s="55">
        <f t="shared" si="13"/>
        <v>-6500</v>
      </c>
      <c r="F146" s="55">
        <f t="shared" si="14"/>
        <v>-20000</v>
      </c>
      <c r="G146" s="55">
        <f t="shared" si="15"/>
        <v>-33500</v>
      </c>
      <c r="H146" s="55">
        <f t="shared" si="16"/>
        <v>-47000</v>
      </c>
      <c r="I146" s="62">
        <v>135</v>
      </c>
    </row>
    <row r="147" spans="3:9" x14ac:dyDescent="0.75">
      <c r="C147" s="55">
        <f t="shared" si="17"/>
        <v>20200</v>
      </c>
      <c r="D147" s="55">
        <f t="shared" si="12"/>
        <v>6600</v>
      </c>
      <c r="E147" s="55">
        <f t="shared" si="13"/>
        <v>-7000</v>
      </c>
      <c r="F147" s="55">
        <f t="shared" si="14"/>
        <v>-20600</v>
      </c>
      <c r="G147" s="55">
        <f t="shared" si="15"/>
        <v>-34200</v>
      </c>
      <c r="H147" s="55">
        <f t="shared" si="16"/>
        <v>-47800</v>
      </c>
      <c r="I147" s="62">
        <v>136</v>
      </c>
    </row>
    <row r="148" spans="3:9" x14ac:dyDescent="0.75">
      <c r="C148" s="55">
        <f t="shared" si="17"/>
        <v>19900</v>
      </c>
      <c r="D148" s="55">
        <f t="shared" si="12"/>
        <v>6200</v>
      </c>
      <c r="E148" s="55">
        <f t="shared" si="13"/>
        <v>-7500</v>
      </c>
      <c r="F148" s="55">
        <f t="shared" si="14"/>
        <v>-21200</v>
      </c>
      <c r="G148" s="55">
        <f t="shared" si="15"/>
        <v>-34900</v>
      </c>
      <c r="H148" s="55">
        <f t="shared" si="16"/>
        <v>-48600</v>
      </c>
      <c r="I148" s="62">
        <v>137</v>
      </c>
    </row>
    <row r="149" spans="3:9" x14ac:dyDescent="0.75">
      <c r="C149" s="55">
        <f t="shared" si="17"/>
        <v>19600</v>
      </c>
      <c r="D149" s="55">
        <f t="shared" si="12"/>
        <v>5800</v>
      </c>
      <c r="E149" s="55">
        <f t="shared" si="13"/>
        <v>-8000</v>
      </c>
      <c r="F149" s="55">
        <f t="shared" si="14"/>
        <v>-21800</v>
      </c>
      <c r="G149" s="55">
        <f t="shared" si="15"/>
        <v>-35600</v>
      </c>
      <c r="H149" s="55">
        <f t="shared" si="16"/>
        <v>-49400</v>
      </c>
      <c r="I149" s="62">
        <v>138</v>
      </c>
    </row>
    <row r="150" spans="3:9" x14ac:dyDescent="0.75">
      <c r="C150" s="55">
        <f t="shared" si="17"/>
        <v>19300</v>
      </c>
      <c r="D150" s="55">
        <f t="shared" si="12"/>
        <v>5400</v>
      </c>
      <c r="E150" s="55">
        <f t="shared" si="13"/>
        <v>-8500</v>
      </c>
      <c r="F150" s="55">
        <f t="shared" si="14"/>
        <v>-22400</v>
      </c>
      <c r="G150" s="55">
        <f t="shared" si="15"/>
        <v>-36300</v>
      </c>
      <c r="H150" s="55">
        <f t="shared" si="16"/>
        <v>-50200</v>
      </c>
      <c r="I150" s="62">
        <v>139</v>
      </c>
    </row>
    <row r="151" spans="3:9" x14ac:dyDescent="0.75">
      <c r="C151" s="55">
        <f t="shared" si="17"/>
        <v>19000</v>
      </c>
      <c r="D151" s="55">
        <f t="shared" si="12"/>
        <v>5000</v>
      </c>
      <c r="E151" s="55">
        <f t="shared" si="13"/>
        <v>-9000</v>
      </c>
      <c r="F151" s="55">
        <f t="shared" si="14"/>
        <v>-23000</v>
      </c>
      <c r="G151" s="55">
        <f t="shared" si="15"/>
        <v>-37000</v>
      </c>
      <c r="H151" s="55">
        <f t="shared" si="16"/>
        <v>-51000</v>
      </c>
      <c r="I151" s="62">
        <v>140</v>
      </c>
    </row>
    <row r="152" spans="3:9" x14ac:dyDescent="0.75">
      <c r="C152" s="55">
        <f t="shared" si="17"/>
        <v>18700</v>
      </c>
      <c r="D152" s="55">
        <f t="shared" si="12"/>
        <v>4600</v>
      </c>
      <c r="E152" s="55">
        <f t="shared" si="13"/>
        <v>-9500</v>
      </c>
      <c r="F152" s="55">
        <f t="shared" si="14"/>
        <v>-23600</v>
      </c>
      <c r="G152" s="55">
        <f t="shared" si="15"/>
        <v>-37700</v>
      </c>
      <c r="H152" s="55">
        <f t="shared" si="16"/>
        <v>-51800</v>
      </c>
      <c r="I152" s="62">
        <v>141</v>
      </c>
    </row>
    <row r="153" spans="3:9" x14ac:dyDescent="0.75">
      <c r="C153" s="55">
        <f t="shared" si="17"/>
        <v>18400</v>
      </c>
      <c r="D153" s="55">
        <f t="shared" si="12"/>
        <v>4200</v>
      </c>
      <c r="E153" s="55">
        <f t="shared" si="13"/>
        <v>-10000</v>
      </c>
      <c r="F153" s="55">
        <f t="shared" si="14"/>
        <v>-24200</v>
      </c>
      <c r="G153" s="55">
        <f t="shared" si="15"/>
        <v>-38400</v>
      </c>
      <c r="H153" s="55">
        <f t="shared" si="16"/>
        <v>-52600</v>
      </c>
      <c r="I153" s="62">
        <v>142</v>
      </c>
    </row>
    <row r="154" spans="3:9" x14ac:dyDescent="0.75">
      <c r="C154" s="55">
        <f t="shared" si="17"/>
        <v>18100</v>
      </c>
      <c r="D154" s="55">
        <f t="shared" si="12"/>
        <v>3800</v>
      </c>
      <c r="E154" s="55">
        <f t="shared" si="13"/>
        <v>-10500</v>
      </c>
      <c r="F154" s="55">
        <f t="shared" si="14"/>
        <v>-24800</v>
      </c>
      <c r="G154" s="55">
        <f t="shared" si="15"/>
        <v>-39100</v>
      </c>
      <c r="H154" s="55">
        <f t="shared" si="16"/>
        <v>-53400</v>
      </c>
      <c r="I154" s="62">
        <v>143</v>
      </c>
    </row>
    <row r="155" spans="3:9" x14ac:dyDescent="0.75">
      <c r="C155" s="55">
        <f t="shared" si="17"/>
        <v>17800</v>
      </c>
      <c r="D155" s="55">
        <f t="shared" si="12"/>
        <v>3400</v>
      </c>
      <c r="E155" s="55">
        <f t="shared" si="13"/>
        <v>-11000</v>
      </c>
      <c r="F155" s="55">
        <f t="shared" si="14"/>
        <v>-25400</v>
      </c>
      <c r="G155" s="55">
        <f t="shared" si="15"/>
        <v>-39800</v>
      </c>
      <c r="H155" s="55">
        <f t="shared" si="16"/>
        <v>-54200</v>
      </c>
      <c r="I155" s="62">
        <v>144</v>
      </c>
    </row>
    <row r="156" spans="3:9" x14ac:dyDescent="0.75">
      <c r="C156" s="55">
        <f t="shared" si="17"/>
        <v>17500</v>
      </c>
      <c r="D156" s="55">
        <f t="shared" si="12"/>
        <v>3000</v>
      </c>
      <c r="E156" s="55">
        <f t="shared" si="13"/>
        <v>-11500</v>
      </c>
      <c r="F156" s="55">
        <f t="shared" si="14"/>
        <v>-26000</v>
      </c>
      <c r="G156" s="55">
        <f t="shared" si="15"/>
        <v>-40500</v>
      </c>
      <c r="H156" s="55">
        <f t="shared" si="16"/>
        <v>-55000</v>
      </c>
      <c r="I156" s="62">
        <v>145</v>
      </c>
    </row>
    <row r="157" spans="3:9" x14ac:dyDescent="0.75">
      <c r="C157" s="55">
        <f t="shared" si="17"/>
        <v>17200</v>
      </c>
      <c r="D157" s="55">
        <f t="shared" si="12"/>
        <v>2600</v>
      </c>
      <c r="E157" s="55">
        <f t="shared" si="13"/>
        <v>-12000</v>
      </c>
      <c r="F157" s="55">
        <f t="shared" si="14"/>
        <v>-26600</v>
      </c>
      <c r="G157" s="55">
        <f t="shared" si="15"/>
        <v>-41200</v>
      </c>
      <c r="H157" s="55">
        <f t="shared" si="16"/>
        <v>-55800</v>
      </c>
      <c r="I157" s="62">
        <v>146</v>
      </c>
    </row>
    <row r="158" spans="3:9" x14ac:dyDescent="0.75">
      <c r="C158" s="55">
        <f t="shared" si="17"/>
        <v>16900</v>
      </c>
      <c r="D158" s="55">
        <f t="shared" si="12"/>
        <v>2200</v>
      </c>
      <c r="E158" s="55">
        <f t="shared" si="13"/>
        <v>-12500</v>
      </c>
      <c r="F158" s="55">
        <f t="shared" si="14"/>
        <v>-27200</v>
      </c>
      <c r="G158" s="55">
        <f t="shared" si="15"/>
        <v>-41900</v>
      </c>
      <c r="H158" s="55">
        <f t="shared" si="16"/>
        <v>-56600</v>
      </c>
      <c r="I158" s="62">
        <v>147</v>
      </c>
    </row>
    <row r="159" spans="3:9" x14ac:dyDescent="0.75">
      <c r="C159" s="55">
        <f t="shared" si="17"/>
        <v>16600</v>
      </c>
      <c r="D159" s="55">
        <f t="shared" si="12"/>
        <v>1800</v>
      </c>
      <c r="E159" s="55">
        <f t="shared" si="13"/>
        <v>-13000</v>
      </c>
      <c r="F159" s="55">
        <f t="shared" si="14"/>
        <v>-27800</v>
      </c>
      <c r="G159" s="55">
        <f t="shared" si="15"/>
        <v>-42600</v>
      </c>
      <c r="H159" s="55">
        <f t="shared" si="16"/>
        <v>-57400</v>
      </c>
      <c r="I159" s="62">
        <v>148</v>
      </c>
    </row>
    <row r="160" spans="3:9" x14ac:dyDescent="0.75">
      <c r="C160" s="55">
        <f t="shared" si="17"/>
        <v>16300</v>
      </c>
      <c r="D160" s="55">
        <f t="shared" si="12"/>
        <v>1400</v>
      </c>
      <c r="E160" s="55">
        <f t="shared" si="13"/>
        <v>-13500</v>
      </c>
      <c r="F160" s="55">
        <f t="shared" si="14"/>
        <v>-28400</v>
      </c>
      <c r="G160" s="55">
        <f t="shared" si="15"/>
        <v>-43300</v>
      </c>
      <c r="H160" s="55">
        <f t="shared" si="16"/>
        <v>-58200</v>
      </c>
      <c r="I160" s="62">
        <v>149</v>
      </c>
    </row>
    <row r="161" spans="3:9" x14ac:dyDescent="0.75">
      <c r="C161" s="55">
        <f t="shared" si="17"/>
        <v>16000</v>
      </c>
      <c r="D161" s="55">
        <f t="shared" si="12"/>
        <v>1000</v>
      </c>
      <c r="E161" s="55">
        <f t="shared" si="13"/>
        <v>-14000</v>
      </c>
      <c r="F161" s="55">
        <f t="shared" si="14"/>
        <v>-29000</v>
      </c>
      <c r="G161" s="55">
        <f t="shared" si="15"/>
        <v>-44000</v>
      </c>
      <c r="H161" s="55">
        <f t="shared" si="16"/>
        <v>-59000</v>
      </c>
      <c r="I161" s="62">
        <v>150</v>
      </c>
    </row>
    <row r="162" spans="3:9" x14ac:dyDescent="0.75">
      <c r="C162" s="55">
        <f t="shared" si="17"/>
        <v>15700</v>
      </c>
      <c r="D162" s="55">
        <f t="shared" si="12"/>
        <v>600</v>
      </c>
      <c r="E162" s="55">
        <f t="shared" si="13"/>
        <v>-14500</v>
      </c>
      <c r="F162" s="55">
        <f t="shared" si="14"/>
        <v>-29600</v>
      </c>
      <c r="G162" s="55">
        <f t="shared" si="15"/>
        <v>-44700</v>
      </c>
      <c r="H162" s="55">
        <f t="shared" si="16"/>
        <v>-59800</v>
      </c>
      <c r="I162" s="62">
        <v>151</v>
      </c>
    </row>
    <row r="163" spans="3:9" x14ac:dyDescent="0.75">
      <c r="C163" s="55">
        <f t="shared" si="17"/>
        <v>15400</v>
      </c>
      <c r="D163" s="55">
        <f t="shared" si="12"/>
        <v>200</v>
      </c>
      <c r="E163" s="55">
        <f t="shared" si="13"/>
        <v>-15000</v>
      </c>
      <c r="F163" s="55">
        <f t="shared" si="14"/>
        <v>-30200</v>
      </c>
      <c r="G163" s="55">
        <f t="shared" si="15"/>
        <v>-45400</v>
      </c>
      <c r="H163" s="55">
        <f t="shared" si="16"/>
        <v>-60600</v>
      </c>
      <c r="I163" s="62">
        <v>152</v>
      </c>
    </row>
    <row r="164" spans="3:9" x14ac:dyDescent="0.75">
      <c r="C164" s="55">
        <f t="shared" si="17"/>
        <v>15100</v>
      </c>
      <c r="D164" s="55">
        <f t="shared" si="12"/>
        <v>-200</v>
      </c>
      <c r="E164" s="55">
        <f t="shared" si="13"/>
        <v>-15500</v>
      </c>
      <c r="F164" s="55">
        <f t="shared" si="14"/>
        <v>-30800</v>
      </c>
      <c r="G164" s="55">
        <f t="shared" si="15"/>
        <v>-46100</v>
      </c>
      <c r="H164" s="55">
        <f t="shared" si="16"/>
        <v>-61400</v>
      </c>
      <c r="I164" s="62">
        <v>153</v>
      </c>
    </row>
    <row r="165" spans="3:9" x14ac:dyDescent="0.75">
      <c r="C165" s="55">
        <f t="shared" si="17"/>
        <v>14800</v>
      </c>
      <c r="D165" s="55">
        <f t="shared" si="12"/>
        <v>-600</v>
      </c>
      <c r="E165" s="55">
        <f t="shared" si="13"/>
        <v>-16000</v>
      </c>
      <c r="F165" s="55">
        <f t="shared" si="14"/>
        <v>-31400</v>
      </c>
      <c r="G165" s="55">
        <f t="shared" si="15"/>
        <v>-46800</v>
      </c>
      <c r="H165" s="55">
        <f t="shared" si="16"/>
        <v>-62200</v>
      </c>
      <c r="I165" s="62">
        <v>154</v>
      </c>
    </row>
    <row r="166" spans="3:9" x14ac:dyDescent="0.75">
      <c r="C166" s="55">
        <f t="shared" si="17"/>
        <v>14500</v>
      </c>
      <c r="D166" s="55">
        <f t="shared" si="12"/>
        <v>-1000</v>
      </c>
      <c r="E166" s="55">
        <f t="shared" si="13"/>
        <v>-16500</v>
      </c>
      <c r="F166" s="55">
        <f t="shared" si="14"/>
        <v>-32000</v>
      </c>
      <c r="G166" s="55">
        <f t="shared" si="15"/>
        <v>-47500</v>
      </c>
      <c r="H166" s="55">
        <f t="shared" si="16"/>
        <v>-63000</v>
      </c>
      <c r="I166" s="62">
        <v>155</v>
      </c>
    </row>
    <row r="167" spans="3:9" x14ac:dyDescent="0.75">
      <c r="C167" s="55">
        <f t="shared" si="17"/>
        <v>14200</v>
      </c>
      <c r="D167" s="55">
        <f t="shared" si="12"/>
        <v>-1400</v>
      </c>
      <c r="E167" s="55">
        <f t="shared" si="13"/>
        <v>-17000</v>
      </c>
      <c r="F167" s="55">
        <f t="shared" si="14"/>
        <v>-32600</v>
      </c>
      <c r="G167" s="55">
        <f t="shared" si="15"/>
        <v>-48200</v>
      </c>
      <c r="H167" s="55">
        <f t="shared" si="16"/>
        <v>-63800</v>
      </c>
      <c r="I167" s="62">
        <v>156</v>
      </c>
    </row>
    <row r="168" spans="3:9" x14ac:dyDescent="0.75">
      <c r="C168" s="55">
        <f t="shared" si="17"/>
        <v>13900</v>
      </c>
      <c r="D168" s="55">
        <f t="shared" si="12"/>
        <v>-1800</v>
      </c>
      <c r="E168" s="55">
        <f t="shared" si="13"/>
        <v>-17500</v>
      </c>
      <c r="F168" s="55">
        <f t="shared" si="14"/>
        <v>-33200</v>
      </c>
      <c r="G168" s="55">
        <f t="shared" si="15"/>
        <v>-48900</v>
      </c>
      <c r="H168" s="55">
        <f t="shared" si="16"/>
        <v>-64600</v>
      </c>
      <c r="I168" s="62">
        <v>157</v>
      </c>
    </row>
    <row r="169" spans="3:9" x14ac:dyDescent="0.75">
      <c r="C169" s="55">
        <f>$C168 - ($D$3-200)</f>
        <v>13600</v>
      </c>
      <c r="D169" s="55">
        <f t="shared" si="12"/>
        <v>-2200</v>
      </c>
      <c r="E169" s="55">
        <f t="shared" si="13"/>
        <v>-18000</v>
      </c>
      <c r="F169" s="55">
        <f t="shared" si="14"/>
        <v>-33800</v>
      </c>
      <c r="G169" s="55">
        <f t="shared" si="15"/>
        <v>-49600</v>
      </c>
      <c r="H169" s="55">
        <f t="shared" si="16"/>
        <v>-65400</v>
      </c>
      <c r="I169" s="62">
        <v>158</v>
      </c>
    </row>
    <row r="170" spans="3:9" x14ac:dyDescent="0.75">
      <c r="C170" s="55">
        <f>$C169 - ($D$3-200)</f>
        <v>13300</v>
      </c>
      <c r="D170" s="55">
        <f t="shared" si="12"/>
        <v>-2600</v>
      </c>
      <c r="E170" s="55">
        <f t="shared" si="13"/>
        <v>-18500</v>
      </c>
      <c r="F170" s="55">
        <f t="shared" si="14"/>
        <v>-34400</v>
      </c>
      <c r="G170" s="55">
        <f t="shared" si="15"/>
        <v>-50300</v>
      </c>
      <c r="H170" s="55">
        <f t="shared" si="16"/>
        <v>-66200</v>
      </c>
      <c r="I170" s="62">
        <v>159</v>
      </c>
    </row>
    <row r="171" spans="3:9" x14ac:dyDescent="0.75">
      <c r="C171" s="55">
        <f t="shared" ref="C171:C215" si="18">$C170 - ($D$3-200)</f>
        <v>13000</v>
      </c>
      <c r="D171" s="55">
        <f t="shared" si="12"/>
        <v>-3000</v>
      </c>
      <c r="E171" s="55">
        <f t="shared" si="13"/>
        <v>-19000</v>
      </c>
      <c r="F171" s="55">
        <f t="shared" si="14"/>
        <v>-35000</v>
      </c>
      <c r="G171" s="55">
        <f t="shared" si="15"/>
        <v>-51000</v>
      </c>
      <c r="H171" s="55">
        <f t="shared" si="16"/>
        <v>-67000</v>
      </c>
      <c r="I171" s="62">
        <v>160</v>
      </c>
    </row>
    <row r="172" spans="3:9" x14ac:dyDescent="0.75">
      <c r="C172" s="55">
        <f t="shared" si="18"/>
        <v>12700</v>
      </c>
      <c r="D172" s="55">
        <f t="shared" si="12"/>
        <v>-3400</v>
      </c>
      <c r="E172" s="55">
        <f t="shared" si="13"/>
        <v>-19500</v>
      </c>
      <c r="F172" s="55">
        <f t="shared" si="14"/>
        <v>-35600</v>
      </c>
      <c r="G172" s="55">
        <f t="shared" si="15"/>
        <v>-51700</v>
      </c>
      <c r="H172" s="55">
        <f t="shared" si="16"/>
        <v>-67800</v>
      </c>
      <c r="I172" s="62">
        <v>161</v>
      </c>
    </row>
    <row r="173" spans="3:9" x14ac:dyDescent="0.75">
      <c r="C173" s="55">
        <f t="shared" si="18"/>
        <v>12400</v>
      </c>
      <c r="D173" s="55">
        <f t="shared" si="12"/>
        <v>-3800</v>
      </c>
      <c r="E173" s="55">
        <f t="shared" si="13"/>
        <v>-20000</v>
      </c>
      <c r="F173" s="55">
        <f t="shared" si="14"/>
        <v>-36200</v>
      </c>
      <c r="G173" s="55">
        <f t="shared" si="15"/>
        <v>-52400</v>
      </c>
      <c r="H173" s="55">
        <f t="shared" si="16"/>
        <v>-68600</v>
      </c>
      <c r="I173" s="62">
        <v>162</v>
      </c>
    </row>
    <row r="174" spans="3:9" x14ac:dyDescent="0.75">
      <c r="C174" s="55">
        <f t="shared" si="18"/>
        <v>12100</v>
      </c>
      <c r="D174" s="55">
        <f t="shared" si="12"/>
        <v>-4200</v>
      </c>
      <c r="E174" s="55">
        <f t="shared" si="13"/>
        <v>-20500</v>
      </c>
      <c r="F174" s="55">
        <f t="shared" si="14"/>
        <v>-36800</v>
      </c>
      <c r="G174" s="55">
        <f t="shared" si="15"/>
        <v>-53100</v>
      </c>
      <c r="H174" s="55">
        <f t="shared" si="16"/>
        <v>-69400</v>
      </c>
      <c r="I174" s="62">
        <v>163</v>
      </c>
    </row>
    <row r="175" spans="3:9" x14ac:dyDescent="0.75">
      <c r="C175" s="55">
        <f t="shared" si="18"/>
        <v>11800</v>
      </c>
      <c r="D175" s="55">
        <f t="shared" si="12"/>
        <v>-4600</v>
      </c>
      <c r="E175" s="55">
        <f t="shared" si="13"/>
        <v>-21000</v>
      </c>
      <c r="F175" s="55">
        <f t="shared" si="14"/>
        <v>-37400</v>
      </c>
      <c r="G175" s="55">
        <f t="shared" si="15"/>
        <v>-53800</v>
      </c>
      <c r="H175" s="55">
        <f t="shared" si="16"/>
        <v>-70200</v>
      </c>
      <c r="I175" s="62">
        <v>164</v>
      </c>
    </row>
    <row r="176" spans="3:9" x14ac:dyDescent="0.75">
      <c r="C176" s="55">
        <f t="shared" si="18"/>
        <v>11500</v>
      </c>
      <c r="D176" s="55">
        <f t="shared" si="12"/>
        <v>-5000</v>
      </c>
      <c r="E176" s="55">
        <f t="shared" si="13"/>
        <v>-21500</v>
      </c>
      <c r="F176" s="55">
        <f t="shared" si="14"/>
        <v>-38000</v>
      </c>
      <c r="G176" s="55">
        <f t="shared" si="15"/>
        <v>-54500</v>
      </c>
      <c r="H176" s="55">
        <f t="shared" si="16"/>
        <v>-71000</v>
      </c>
      <c r="I176" s="62">
        <v>165</v>
      </c>
    </row>
    <row r="177" spans="3:9" x14ac:dyDescent="0.75">
      <c r="C177" s="55">
        <f t="shared" si="18"/>
        <v>11200</v>
      </c>
      <c r="D177" s="55">
        <f t="shared" si="12"/>
        <v>-5400</v>
      </c>
      <c r="E177" s="55">
        <f t="shared" si="13"/>
        <v>-22000</v>
      </c>
      <c r="F177" s="55">
        <f t="shared" si="14"/>
        <v>-38600</v>
      </c>
      <c r="G177" s="55">
        <f t="shared" si="15"/>
        <v>-55200</v>
      </c>
      <c r="H177" s="55">
        <f t="shared" si="16"/>
        <v>-71800</v>
      </c>
      <c r="I177" s="62">
        <v>166</v>
      </c>
    </row>
    <row r="178" spans="3:9" x14ac:dyDescent="0.75">
      <c r="C178" s="55">
        <f t="shared" si="18"/>
        <v>10900</v>
      </c>
      <c r="D178" s="55">
        <f t="shared" si="12"/>
        <v>-5800</v>
      </c>
      <c r="E178" s="55">
        <f t="shared" si="13"/>
        <v>-22500</v>
      </c>
      <c r="F178" s="55">
        <f t="shared" si="14"/>
        <v>-39200</v>
      </c>
      <c r="G178" s="55">
        <f t="shared" si="15"/>
        <v>-55900</v>
      </c>
      <c r="H178" s="55">
        <f t="shared" si="16"/>
        <v>-72600</v>
      </c>
      <c r="I178" s="62">
        <v>167</v>
      </c>
    </row>
    <row r="179" spans="3:9" x14ac:dyDescent="0.75">
      <c r="C179" s="55">
        <f t="shared" si="18"/>
        <v>10600</v>
      </c>
      <c r="D179" s="55">
        <f t="shared" si="12"/>
        <v>-6200</v>
      </c>
      <c r="E179" s="55">
        <f t="shared" si="13"/>
        <v>-23000</v>
      </c>
      <c r="F179" s="55">
        <f t="shared" si="14"/>
        <v>-39800</v>
      </c>
      <c r="G179" s="55">
        <f t="shared" si="15"/>
        <v>-56600</v>
      </c>
      <c r="H179" s="55">
        <f t="shared" si="16"/>
        <v>-73400</v>
      </c>
      <c r="I179" s="62">
        <v>168</v>
      </c>
    </row>
    <row r="180" spans="3:9" x14ac:dyDescent="0.75">
      <c r="C180" s="55">
        <f t="shared" si="18"/>
        <v>10300</v>
      </c>
      <c r="D180" s="55">
        <f t="shared" si="12"/>
        <v>-6600</v>
      </c>
      <c r="E180" s="55">
        <f t="shared" si="13"/>
        <v>-23500</v>
      </c>
      <c r="F180" s="55">
        <f t="shared" si="14"/>
        <v>-40400</v>
      </c>
      <c r="G180" s="55">
        <f t="shared" si="15"/>
        <v>-57300</v>
      </c>
      <c r="H180" s="55">
        <f t="shared" si="16"/>
        <v>-74200</v>
      </c>
      <c r="I180" s="62">
        <v>169</v>
      </c>
    </row>
    <row r="181" spans="3:9" x14ac:dyDescent="0.75">
      <c r="C181" s="55">
        <f t="shared" si="18"/>
        <v>10000</v>
      </c>
      <c r="D181" s="55">
        <f t="shared" si="12"/>
        <v>-7000</v>
      </c>
      <c r="E181" s="55">
        <f t="shared" si="13"/>
        <v>-24000</v>
      </c>
      <c r="F181" s="55">
        <f t="shared" si="14"/>
        <v>-41000</v>
      </c>
      <c r="G181" s="55">
        <f t="shared" si="15"/>
        <v>-58000</v>
      </c>
      <c r="H181" s="55">
        <f t="shared" si="16"/>
        <v>-75000</v>
      </c>
      <c r="I181" s="62">
        <v>170</v>
      </c>
    </row>
    <row r="182" spans="3:9" x14ac:dyDescent="0.75">
      <c r="C182" s="55">
        <f t="shared" si="18"/>
        <v>9700</v>
      </c>
      <c r="D182" s="55">
        <f t="shared" si="12"/>
        <v>-7400</v>
      </c>
      <c r="E182" s="55">
        <f t="shared" si="13"/>
        <v>-24500</v>
      </c>
      <c r="F182" s="55">
        <f t="shared" si="14"/>
        <v>-41600</v>
      </c>
      <c r="G182" s="55">
        <f t="shared" si="15"/>
        <v>-58700</v>
      </c>
      <c r="H182" s="55">
        <f t="shared" si="16"/>
        <v>-75800</v>
      </c>
      <c r="I182" s="62">
        <v>171</v>
      </c>
    </row>
    <row r="183" spans="3:9" x14ac:dyDescent="0.75">
      <c r="C183" s="55">
        <f t="shared" si="18"/>
        <v>9400</v>
      </c>
      <c r="D183" s="55">
        <f t="shared" si="12"/>
        <v>-7800</v>
      </c>
      <c r="E183" s="55">
        <f t="shared" si="13"/>
        <v>-25000</v>
      </c>
      <c r="F183" s="55">
        <f t="shared" si="14"/>
        <v>-42200</v>
      </c>
      <c r="G183" s="55">
        <f t="shared" si="15"/>
        <v>-59400</v>
      </c>
      <c r="H183" s="55">
        <f t="shared" si="16"/>
        <v>-76600</v>
      </c>
      <c r="I183" s="62">
        <v>172</v>
      </c>
    </row>
    <row r="184" spans="3:9" x14ac:dyDescent="0.75">
      <c r="C184" s="55">
        <f t="shared" si="18"/>
        <v>9100</v>
      </c>
      <c r="D184" s="55">
        <f t="shared" si="12"/>
        <v>-8200</v>
      </c>
      <c r="E184" s="55">
        <f t="shared" si="13"/>
        <v>-25500</v>
      </c>
      <c r="F184" s="55">
        <f t="shared" si="14"/>
        <v>-42800</v>
      </c>
      <c r="G184" s="55">
        <f t="shared" si="15"/>
        <v>-60100</v>
      </c>
      <c r="H184" s="55">
        <f t="shared" si="16"/>
        <v>-77400</v>
      </c>
      <c r="I184" s="62">
        <v>173</v>
      </c>
    </row>
    <row r="185" spans="3:9" x14ac:dyDescent="0.75">
      <c r="C185" s="55">
        <f t="shared" si="18"/>
        <v>8800</v>
      </c>
      <c r="D185" s="55">
        <f t="shared" si="12"/>
        <v>-8600</v>
      </c>
      <c r="E185" s="55">
        <f t="shared" si="13"/>
        <v>-26000</v>
      </c>
      <c r="F185" s="55">
        <f t="shared" si="14"/>
        <v>-43400</v>
      </c>
      <c r="G185" s="55">
        <f t="shared" si="15"/>
        <v>-60800</v>
      </c>
      <c r="H185" s="55">
        <f t="shared" si="16"/>
        <v>-78200</v>
      </c>
      <c r="I185" s="62">
        <v>174</v>
      </c>
    </row>
    <row r="186" spans="3:9" x14ac:dyDescent="0.75">
      <c r="C186" s="55">
        <f t="shared" si="18"/>
        <v>8500</v>
      </c>
      <c r="D186" s="55">
        <f t="shared" si="12"/>
        <v>-9000</v>
      </c>
      <c r="E186" s="55">
        <f t="shared" si="13"/>
        <v>-26500</v>
      </c>
      <c r="F186" s="55">
        <f t="shared" si="14"/>
        <v>-44000</v>
      </c>
      <c r="G186" s="55">
        <f t="shared" si="15"/>
        <v>-61500</v>
      </c>
      <c r="H186" s="55">
        <f t="shared" si="16"/>
        <v>-79000</v>
      </c>
      <c r="I186" s="62">
        <v>175</v>
      </c>
    </row>
    <row r="187" spans="3:9" x14ac:dyDescent="0.75">
      <c r="C187" s="55">
        <f t="shared" si="18"/>
        <v>8200</v>
      </c>
      <c r="D187" s="55">
        <f t="shared" si="12"/>
        <v>-9400</v>
      </c>
      <c r="E187" s="55">
        <f t="shared" si="13"/>
        <v>-27000</v>
      </c>
      <c r="F187" s="55">
        <f t="shared" si="14"/>
        <v>-44600</v>
      </c>
      <c r="G187" s="55">
        <f t="shared" si="15"/>
        <v>-62200</v>
      </c>
      <c r="H187" s="55">
        <f t="shared" si="16"/>
        <v>-79800</v>
      </c>
      <c r="I187" s="62">
        <v>176</v>
      </c>
    </row>
    <row r="188" spans="3:9" x14ac:dyDescent="0.75">
      <c r="C188" s="55">
        <f t="shared" si="18"/>
        <v>7900</v>
      </c>
      <c r="D188" s="55">
        <f t="shared" si="12"/>
        <v>-9800</v>
      </c>
      <c r="E188" s="55">
        <f t="shared" si="13"/>
        <v>-27500</v>
      </c>
      <c r="F188" s="55">
        <f t="shared" si="14"/>
        <v>-45200</v>
      </c>
      <c r="G188" s="55">
        <f t="shared" si="15"/>
        <v>-62900</v>
      </c>
      <c r="H188" s="55">
        <f t="shared" si="16"/>
        <v>-80600</v>
      </c>
      <c r="I188" s="62">
        <v>177</v>
      </c>
    </row>
    <row r="189" spans="3:9" x14ac:dyDescent="0.75">
      <c r="C189" s="55">
        <f t="shared" si="18"/>
        <v>7600</v>
      </c>
      <c r="D189" s="55">
        <f t="shared" si="12"/>
        <v>-10200</v>
      </c>
      <c r="E189" s="55">
        <f t="shared" si="13"/>
        <v>-28000</v>
      </c>
      <c r="F189" s="55">
        <f t="shared" si="14"/>
        <v>-45800</v>
      </c>
      <c r="G189" s="55">
        <f t="shared" si="15"/>
        <v>-63600</v>
      </c>
      <c r="H189" s="55">
        <f t="shared" si="16"/>
        <v>-81400</v>
      </c>
      <c r="I189" s="62">
        <v>178</v>
      </c>
    </row>
    <row r="190" spans="3:9" x14ac:dyDescent="0.75">
      <c r="C190" s="55">
        <f t="shared" si="18"/>
        <v>7300</v>
      </c>
      <c r="D190" s="55">
        <f t="shared" si="12"/>
        <v>-10600</v>
      </c>
      <c r="E190" s="55">
        <f t="shared" si="13"/>
        <v>-28500</v>
      </c>
      <c r="F190" s="55">
        <f t="shared" si="14"/>
        <v>-46400</v>
      </c>
      <c r="G190" s="55">
        <f t="shared" si="15"/>
        <v>-64300</v>
      </c>
      <c r="H190" s="55">
        <f t="shared" si="16"/>
        <v>-82200</v>
      </c>
      <c r="I190" s="62">
        <v>179</v>
      </c>
    </row>
    <row r="191" spans="3:9" x14ac:dyDescent="0.75">
      <c r="C191" s="55">
        <f t="shared" si="18"/>
        <v>7000</v>
      </c>
      <c r="D191" s="55">
        <f t="shared" si="12"/>
        <v>-11000</v>
      </c>
      <c r="E191" s="55">
        <f t="shared" si="13"/>
        <v>-29000</v>
      </c>
      <c r="F191" s="55">
        <f t="shared" si="14"/>
        <v>-47000</v>
      </c>
      <c r="G191" s="55">
        <f t="shared" si="15"/>
        <v>-65000</v>
      </c>
      <c r="H191" s="55">
        <f t="shared" si="16"/>
        <v>-83000</v>
      </c>
      <c r="I191" s="62">
        <v>180</v>
      </c>
    </row>
    <row r="192" spans="3:9" x14ac:dyDescent="0.75">
      <c r="C192" s="55">
        <f t="shared" si="18"/>
        <v>6700</v>
      </c>
      <c r="D192" s="55">
        <f t="shared" si="12"/>
        <v>-11400</v>
      </c>
      <c r="E192" s="55">
        <f t="shared" si="13"/>
        <v>-29500</v>
      </c>
      <c r="F192" s="55">
        <f t="shared" si="14"/>
        <v>-47600</v>
      </c>
      <c r="G192" s="55">
        <f t="shared" si="15"/>
        <v>-65700</v>
      </c>
      <c r="H192" s="55">
        <f t="shared" si="16"/>
        <v>-83800</v>
      </c>
      <c r="I192" s="62">
        <v>181</v>
      </c>
    </row>
    <row r="193" spans="3:9" x14ac:dyDescent="0.75">
      <c r="C193" s="55">
        <f t="shared" si="18"/>
        <v>6400</v>
      </c>
      <c r="D193" s="55">
        <f t="shared" si="12"/>
        <v>-11800</v>
      </c>
      <c r="E193" s="55">
        <f t="shared" si="13"/>
        <v>-30000</v>
      </c>
      <c r="F193" s="55">
        <f t="shared" si="14"/>
        <v>-48200</v>
      </c>
      <c r="G193" s="55">
        <f t="shared" si="15"/>
        <v>-66400</v>
      </c>
      <c r="H193" s="55">
        <f t="shared" si="16"/>
        <v>-84600</v>
      </c>
      <c r="I193" s="62">
        <v>182</v>
      </c>
    </row>
    <row r="194" spans="3:9" x14ac:dyDescent="0.75">
      <c r="C194" s="55">
        <f t="shared" si="18"/>
        <v>6100</v>
      </c>
      <c r="D194" s="55">
        <f t="shared" si="12"/>
        <v>-12200</v>
      </c>
      <c r="E194" s="55">
        <f t="shared" si="13"/>
        <v>-30500</v>
      </c>
      <c r="F194" s="55">
        <f t="shared" si="14"/>
        <v>-48800</v>
      </c>
      <c r="G194" s="55">
        <f t="shared" si="15"/>
        <v>-67100</v>
      </c>
      <c r="H194" s="55">
        <f t="shared" si="16"/>
        <v>-85400</v>
      </c>
      <c r="I194" s="62">
        <v>183</v>
      </c>
    </row>
    <row r="195" spans="3:9" x14ac:dyDescent="0.75">
      <c r="C195" s="55">
        <f t="shared" si="18"/>
        <v>5800</v>
      </c>
      <c r="D195" s="55">
        <f t="shared" si="12"/>
        <v>-12600</v>
      </c>
      <c r="E195" s="55">
        <f t="shared" si="13"/>
        <v>-31000</v>
      </c>
      <c r="F195" s="55">
        <f t="shared" si="14"/>
        <v>-49400</v>
      </c>
      <c r="G195" s="55">
        <f t="shared" si="15"/>
        <v>-67800</v>
      </c>
      <c r="H195" s="55">
        <f t="shared" si="16"/>
        <v>-86200</v>
      </c>
      <c r="I195" s="62">
        <v>184</v>
      </c>
    </row>
    <row r="196" spans="3:9" x14ac:dyDescent="0.75">
      <c r="C196" s="55">
        <f t="shared" si="18"/>
        <v>5500</v>
      </c>
      <c r="D196" s="55">
        <f t="shared" si="12"/>
        <v>-13000</v>
      </c>
      <c r="E196" s="55">
        <f t="shared" si="13"/>
        <v>-31500</v>
      </c>
      <c r="F196" s="55">
        <f t="shared" si="14"/>
        <v>-50000</v>
      </c>
      <c r="G196" s="55">
        <f t="shared" si="15"/>
        <v>-68500</v>
      </c>
      <c r="H196" s="55">
        <f t="shared" si="16"/>
        <v>-87000</v>
      </c>
      <c r="I196" s="62">
        <v>185</v>
      </c>
    </row>
    <row r="197" spans="3:9" x14ac:dyDescent="0.75">
      <c r="C197" s="55">
        <f t="shared" si="18"/>
        <v>5200</v>
      </c>
      <c r="D197" s="55">
        <f t="shared" si="12"/>
        <v>-13400</v>
      </c>
      <c r="E197" s="55">
        <f t="shared" si="13"/>
        <v>-32000</v>
      </c>
      <c r="F197" s="55">
        <f t="shared" si="14"/>
        <v>-50600</v>
      </c>
      <c r="G197" s="55">
        <f t="shared" si="15"/>
        <v>-69200</v>
      </c>
      <c r="H197" s="55">
        <f t="shared" si="16"/>
        <v>-87800</v>
      </c>
      <c r="I197" s="62">
        <v>186</v>
      </c>
    </row>
    <row r="198" spans="3:9" x14ac:dyDescent="0.75">
      <c r="C198" s="55">
        <f t="shared" si="18"/>
        <v>4900</v>
      </c>
      <c r="D198" s="55">
        <f t="shared" si="12"/>
        <v>-13800</v>
      </c>
      <c r="E198" s="55">
        <f t="shared" si="13"/>
        <v>-32500</v>
      </c>
      <c r="F198" s="55">
        <f t="shared" si="14"/>
        <v>-51200</v>
      </c>
      <c r="G198" s="55">
        <f t="shared" si="15"/>
        <v>-69900</v>
      </c>
      <c r="H198" s="55">
        <f t="shared" si="16"/>
        <v>-88600</v>
      </c>
      <c r="I198" s="62">
        <v>187</v>
      </c>
    </row>
    <row r="199" spans="3:9" x14ac:dyDescent="0.75">
      <c r="C199" s="55">
        <f t="shared" si="18"/>
        <v>4600</v>
      </c>
      <c r="D199" s="55">
        <f t="shared" si="12"/>
        <v>-14200</v>
      </c>
      <c r="E199" s="55">
        <f t="shared" si="13"/>
        <v>-33000</v>
      </c>
      <c r="F199" s="55">
        <f t="shared" si="14"/>
        <v>-51800</v>
      </c>
      <c r="G199" s="55">
        <f t="shared" si="15"/>
        <v>-70600</v>
      </c>
      <c r="H199" s="55">
        <f t="shared" si="16"/>
        <v>-89400</v>
      </c>
      <c r="I199" s="62">
        <v>188</v>
      </c>
    </row>
    <row r="200" spans="3:9" x14ac:dyDescent="0.75">
      <c r="C200" s="55">
        <f t="shared" si="18"/>
        <v>4300</v>
      </c>
      <c r="D200" s="55">
        <f t="shared" si="12"/>
        <v>-14600</v>
      </c>
      <c r="E200" s="55">
        <f t="shared" si="13"/>
        <v>-33500</v>
      </c>
      <c r="F200" s="55">
        <f t="shared" si="14"/>
        <v>-52400</v>
      </c>
      <c r="G200" s="55">
        <f t="shared" si="15"/>
        <v>-71300</v>
      </c>
      <c r="H200" s="55">
        <f t="shared" si="16"/>
        <v>-90200</v>
      </c>
      <c r="I200" s="62">
        <v>189</v>
      </c>
    </row>
    <row r="201" spans="3:9" x14ac:dyDescent="0.75">
      <c r="C201" s="55">
        <f t="shared" si="18"/>
        <v>4000</v>
      </c>
      <c r="D201" s="55">
        <f t="shared" si="12"/>
        <v>-15000</v>
      </c>
      <c r="E201" s="55">
        <f t="shared" si="13"/>
        <v>-34000</v>
      </c>
      <c r="F201" s="55">
        <f t="shared" si="14"/>
        <v>-53000</v>
      </c>
      <c r="G201" s="55">
        <f t="shared" si="15"/>
        <v>-72000</v>
      </c>
      <c r="H201" s="55">
        <f t="shared" si="16"/>
        <v>-91000</v>
      </c>
      <c r="I201" s="62">
        <v>190</v>
      </c>
    </row>
    <row r="202" spans="3:9" x14ac:dyDescent="0.75">
      <c r="C202" s="55">
        <f t="shared" si="18"/>
        <v>3700</v>
      </c>
      <c r="D202" s="55">
        <f t="shared" si="12"/>
        <v>-15400</v>
      </c>
      <c r="E202" s="55">
        <f t="shared" si="13"/>
        <v>-34500</v>
      </c>
      <c r="F202" s="55">
        <f t="shared" si="14"/>
        <v>-53600</v>
      </c>
      <c r="G202" s="55">
        <f t="shared" si="15"/>
        <v>-72700</v>
      </c>
      <c r="H202" s="55">
        <f t="shared" si="16"/>
        <v>-91800</v>
      </c>
      <c r="I202" s="62">
        <v>191</v>
      </c>
    </row>
    <row r="203" spans="3:9" x14ac:dyDescent="0.75">
      <c r="C203" s="55">
        <f t="shared" si="18"/>
        <v>3400</v>
      </c>
      <c r="D203" s="55">
        <f t="shared" si="12"/>
        <v>-15800</v>
      </c>
      <c r="E203" s="55">
        <f t="shared" si="13"/>
        <v>-35000</v>
      </c>
      <c r="F203" s="55">
        <f t="shared" si="14"/>
        <v>-54200</v>
      </c>
      <c r="G203" s="55">
        <f t="shared" si="15"/>
        <v>-73400</v>
      </c>
      <c r="H203" s="55">
        <f t="shared" si="16"/>
        <v>-92600</v>
      </c>
      <c r="I203" s="62">
        <v>192</v>
      </c>
    </row>
    <row r="204" spans="3:9" x14ac:dyDescent="0.75">
      <c r="C204" s="55">
        <f t="shared" si="18"/>
        <v>3100</v>
      </c>
      <c r="D204" s="55">
        <f t="shared" si="12"/>
        <v>-16200</v>
      </c>
      <c r="E204" s="55">
        <f t="shared" si="13"/>
        <v>-35500</v>
      </c>
      <c r="F204" s="55">
        <f t="shared" si="14"/>
        <v>-54800</v>
      </c>
      <c r="G204" s="55">
        <f t="shared" si="15"/>
        <v>-74100</v>
      </c>
      <c r="H204" s="55">
        <f t="shared" si="16"/>
        <v>-93400</v>
      </c>
      <c r="I204" s="62">
        <v>193</v>
      </c>
    </row>
    <row r="205" spans="3:9" x14ac:dyDescent="0.75">
      <c r="C205" s="55">
        <f t="shared" si="18"/>
        <v>2800</v>
      </c>
      <c r="D205" s="55">
        <f>$D204 - ($D$3-100)</f>
        <v>-16600</v>
      </c>
      <c r="E205" s="55">
        <f t="shared" ref="E205:E215" si="19">$E204 - ($D$3)</f>
        <v>-36000</v>
      </c>
      <c r="F205" s="55">
        <f t="shared" ref="F205:F215" si="20">$F204 - ($D$3+100)</f>
        <v>-55400</v>
      </c>
      <c r="G205" s="55">
        <f t="shared" ref="G205:G215" si="21">$G204 - ($D$3+200)</f>
        <v>-74800</v>
      </c>
      <c r="H205" s="55">
        <f t="shared" ref="H205:H215" si="22">$H204 - ($D$3+300)</f>
        <v>-94200</v>
      </c>
      <c r="I205" s="62">
        <v>194</v>
      </c>
    </row>
    <row r="206" spans="3:9" x14ac:dyDescent="0.75">
      <c r="C206" s="55">
        <f t="shared" si="18"/>
        <v>2500</v>
      </c>
      <c r="D206" s="55">
        <f t="shared" ref="D206:D215" si="23">$D205 - ($D$3-100)</f>
        <v>-17000</v>
      </c>
      <c r="E206" s="55">
        <f t="shared" si="19"/>
        <v>-36500</v>
      </c>
      <c r="F206" s="55">
        <f t="shared" si="20"/>
        <v>-56000</v>
      </c>
      <c r="G206" s="55">
        <f t="shared" si="21"/>
        <v>-75500</v>
      </c>
      <c r="H206" s="55">
        <f t="shared" si="22"/>
        <v>-95000</v>
      </c>
      <c r="I206" s="62">
        <v>195</v>
      </c>
    </row>
    <row r="207" spans="3:9" x14ac:dyDescent="0.75">
      <c r="C207" s="55">
        <f t="shared" si="18"/>
        <v>2200</v>
      </c>
      <c r="D207" s="55">
        <f t="shared" si="23"/>
        <v>-17400</v>
      </c>
      <c r="E207" s="55">
        <f t="shared" si="19"/>
        <v>-37000</v>
      </c>
      <c r="F207" s="55">
        <f t="shared" si="20"/>
        <v>-56600</v>
      </c>
      <c r="G207" s="55">
        <f t="shared" si="21"/>
        <v>-76200</v>
      </c>
      <c r="H207" s="55">
        <f t="shared" si="22"/>
        <v>-95800</v>
      </c>
      <c r="I207" s="62">
        <v>196</v>
      </c>
    </row>
    <row r="208" spans="3:9" x14ac:dyDescent="0.75">
      <c r="C208" s="55">
        <f t="shared" si="18"/>
        <v>1900</v>
      </c>
      <c r="D208" s="55">
        <f t="shared" si="23"/>
        <v>-17800</v>
      </c>
      <c r="E208" s="55">
        <f t="shared" si="19"/>
        <v>-37500</v>
      </c>
      <c r="F208" s="55">
        <f t="shared" si="20"/>
        <v>-57200</v>
      </c>
      <c r="G208" s="55">
        <f t="shared" si="21"/>
        <v>-76900</v>
      </c>
      <c r="H208" s="55">
        <f t="shared" si="22"/>
        <v>-96600</v>
      </c>
      <c r="I208" s="62">
        <v>197</v>
      </c>
    </row>
    <row r="209" spans="2:9" x14ac:dyDescent="0.75">
      <c r="C209" s="55">
        <f t="shared" si="18"/>
        <v>1600</v>
      </c>
      <c r="D209" s="55">
        <f t="shared" si="23"/>
        <v>-18200</v>
      </c>
      <c r="E209" s="55">
        <f t="shared" si="19"/>
        <v>-38000</v>
      </c>
      <c r="F209" s="55">
        <f t="shared" si="20"/>
        <v>-57800</v>
      </c>
      <c r="G209" s="55">
        <f t="shared" si="21"/>
        <v>-77600</v>
      </c>
      <c r="H209" s="55">
        <f t="shared" si="22"/>
        <v>-97400</v>
      </c>
      <c r="I209" s="62">
        <v>198</v>
      </c>
    </row>
    <row r="210" spans="2:9" x14ac:dyDescent="0.75">
      <c r="C210" s="55">
        <f t="shared" si="18"/>
        <v>1300</v>
      </c>
      <c r="D210" s="55">
        <f t="shared" si="23"/>
        <v>-18600</v>
      </c>
      <c r="E210" s="55">
        <f t="shared" si="19"/>
        <v>-38500</v>
      </c>
      <c r="F210" s="55">
        <f t="shared" si="20"/>
        <v>-58400</v>
      </c>
      <c r="G210" s="55">
        <f t="shared" si="21"/>
        <v>-78300</v>
      </c>
      <c r="H210" s="55">
        <f t="shared" si="22"/>
        <v>-98200</v>
      </c>
      <c r="I210" s="62">
        <v>199</v>
      </c>
    </row>
    <row r="211" spans="2:9" x14ac:dyDescent="0.75">
      <c r="C211" s="55">
        <f t="shared" si="18"/>
        <v>1000</v>
      </c>
      <c r="D211" s="55">
        <f t="shared" si="23"/>
        <v>-19000</v>
      </c>
      <c r="E211" s="55">
        <f t="shared" si="19"/>
        <v>-39000</v>
      </c>
      <c r="F211" s="55">
        <f t="shared" si="20"/>
        <v>-59000</v>
      </c>
      <c r="G211" s="55">
        <f t="shared" si="21"/>
        <v>-79000</v>
      </c>
      <c r="H211" s="55">
        <f t="shared" si="22"/>
        <v>-99000</v>
      </c>
      <c r="I211" s="62">
        <v>200</v>
      </c>
    </row>
    <row r="212" spans="2:9" x14ac:dyDescent="0.75">
      <c r="C212" s="55">
        <f t="shared" si="18"/>
        <v>700</v>
      </c>
      <c r="D212" s="55">
        <f t="shared" si="23"/>
        <v>-19400</v>
      </c>
      <c r="E212" s="55">
        <f t="shared" si="19"/>
        <v>-39500</v>
      </c>
      <c r="F212" s="55">
        <f t="shared" si="20"/>
        <v>-59600</v>
      </c>
      <c r="G212" s="55">
        <f t="shared" si="21"/>
        <v>-79700</v>
      </c>
      <c r="H212" s="55">
        <f t="shared" si="22"/>
        <v>-99800</v>
      </c>
      <c r="I212" s="62">
        <v>201</v>
      </c>
    </row>
    <row r="213" spans="2:9" x14ac:dyDescent="0.75">
      <c r="C213" s="55">
        <f t="shared" si="18"/>
        <v>400</v>
      </c>
      <c r="D213" s="55">
        <f t="shared" si="23"/>
        <v>-19800</v>
      </c>
      <c r="E213" s="55">
        <f t="shared" si="19"/>
        <v>-40000</v>
      </c>
      <c r="F213" s="55">
        <f t="shared" si="20"/>
        <v>-60200</v>
      </c>
      <c r="G213" s="55">
        <f t="shared" si="21"/>
        <v>-80400</v>
      </c>
      <c r="H213" s="55">
        <f t="shared" si="22"/>
        <v>-100600</v>
      </c>
      <c r="I213" s="62">
        <v>202</v>
      </c>
    </row>
    <row r="214" spans="2:9" x14ac:dyDescent="0.75">
      <c r="C214" s="55">
        <f t="shared" si="18"/>
        <v>100</v>
      </c>
      <c r="D214" s="55">
        <f t="shared" si="23"/>
        <v>-20200</v>
      </c>
      <c r="E214" s="55">
        <f t="shared" si="19"/>
        <v>-40500</v>
      </c>
      <c r="F214" s="55">
        <f t="shared" si="20"/>
        <v>-60800</v>
      </c>
      <c r="G214" s="55">
        <f t="shared" si="21"/>
        <v>-81100</v>
      </c>
      <c r="H214" s="55">
        <f t="shared" si="22"/>
        <v>-101400</v>
      </c>
      <c r="I214" s="62">
        <v>203</v>
      </c>
    </row>
    <row r="215" spans="2:9" x14ac:dyDescent="0.75">
      <c r="C215" s="55">
        <f t="shared" si="18"/>
        <v>-200</v>
      </c>
      <c r="D215" s="55">
        <f t="shared" si="23"/>
        <v>-20600</v>
      </c>
      <c r="E215" s="55">
        <f t="shared" si="19"/>
        <v>-41000</v>
      </c>
      <c r="F215" s="55">
        <f t="shared" si="20"/>
        <v>-61400</v>
      </c>
      <c r="G215" s="55">
        <f t="shared" si="21"/>
        <v>-81800</v>
      </c>
      <c r="H215" s="55">
        <f t="shared" si="22"/>
        <v>-102200</v>
      </c>
      <c r="I215" s="62">
        <v>204</v>
      </c>
    </row>
    <row r="216" spans="2:9" x14ac:dyDescent="0.75">
      <c r="C216" s="10"/>
    </row>
    <row r="217" spans="2:9" x14ac:dyDescent="0.75">
      <c r="B217" s="4"/>
      <c r="C217" s="12"/>
    </row>
    <row r="218" spans="2:9" x14ac:dyDescent="0.75">
      <c r="B218" s="4"/>
      <c r="C218" s="12"/>
    </row>
    <row r="219" spans="2:9" x14ac:dyDescent="0.75">
      <c r="B219" s="4"/>
      <c r="C219" s="12"/>
    </row>
    <row r="220" spans="2:9" x14ac:dyDescent="0.75">
      <c r="B220" s="4"/>
      <c r="C220" s="12"/>
    </row>
    <row r="221" spans="2:9" x14ac:dyDescent="0.75">
      <c r="B221" s="4"/>
      <c r="C221" s="12"/>
    </row>
    <row r="222" spans="2:9" x14ac:dyDescent="0.75">
      <c r="B222" s="4"/>
      <c r="C222" s="12"/>
    </row>
    <row r="223" spans="2:9" x14ac:dyDescent="0.75">
      <c r="B223" s="4"/>
      <c r="C223" s="12"/>
    </row>
    <row r="224" spans="2:9" x14ac:dyDescent="0.75">
      <c r="B224" s="4"/>
      <c r="C224" s="12"/>
    </row>
    <row r="225" spans="2:3" x14ac:dyDescent="0.75">
      <c r="B225" s="4"/>
      <c r="C225" s="12"/>
    </row>
    <row r="226" spans="2:3" x14ac:dyDescent="0.75">
      <c r="B226" s="4"/>
      <c r="C226" s="12"/>
    </row>
    <row r="227" spans="2:3" x14ac:dyDescent="0.75">
      <c r="B227" s="4"/>
      <c r="C227" s="12"/>
    </row>
    <row r="228" spans="2:3" x14ac:dyDescent="0.75">
      <c r="B228" s="4"/>
      <c r="C228" s="12"/>
    </row>
    <row r="229" spans="2:3" x14ac:dyDescent="0.75">
      <c r="B229" s="4"/>
      <c r="C229" s="12"/>
    </row>
    <row r="230" spans="2:3" x14ac:dyDescent="0.75">
      <c r="B230" s="4"/>
      <c r="C230" s="12"/>
    </row>
    <row r="231" spans="2:3" x14ac:dyDescent="0.75">
      <c r="B231" s="4"/>
      <c r="C231" s="12"/>
    </row>
    <row r="232" spans="2:3" x14ac:dyDescent="0.75">
      <c r="B232" s="4"/>
      <c r="C232" s="12"/>
    </row>
    <row r="233" spans="2:3" x14ac:dyDescent="0.75">
      <c r="B233" s="4"/>
      <c r="C233" s="12"/>
    </row>
    <row r="234" spans="2:3" x14ac:dyDescent="0.75">
      <c r="B234" s="4"/>
      <c r="C234" s="12"/>
    </row>
    <row r="235" spans="2:3" x14ac:dyDescent="0.75">
      <c r="B235" s="4"/>
      <c r="C235" s="12"/>
    </row>
    <row r="236" spans="2:3" x14ac:dyDescent="0.75">
      <c r="B236" s="4"/>
      <c r="C236" s="12"/>
    </row>
    <row r="237" spans="2:3" x14ac:dyDescent="0.75">
      <c r="B237" s="4"/>
      <c r="C237" s="12"/>
    </row>
    <row r="238" spans="2:3" x14ac:dyDescent="0.75">
      <c r="B238" s="4"/>
      <c r="C238" s="12"/>
    </row>
    <row r="239" spans="2:3" x14ac:dyDescent="0.75">
      <c r="B239" s="4"/>
      <c r="C239" s="12"/>
    </row>
    <row r="240" spans="2:3" x14ac:dyDescent="0.75">
      <c r="B240" s="4"/>
      <c r="C240" s="12"/>
    </row>
    <row r="241" spans="2:3" x14ac:dyDescent="0.75">
      <c r="B241" s="4"/>
      <c r="C241" s="12"/>
    </row>
    <row r="242" spans="2:3" x14ac:dyDescent="0.75">
      <c r="B242" s="4"/>
      <c r="C242" s="12"/>
    </row>
    <row r="243" spans="2:3" x14ac:dyDescent="0.75">
      <c r="B243" s="4"/>
      <c r="C243" s="12"/>
    </row>
    <row r="244" spans="2:3" x14ac:dyDescent="0.75">
      <c r="B244" s="4"/>
      <c r="C244" s="12"/>
    </row>
    <row r="245" spans="2:3" x14ac:dyDescent="0.75">
      <c r="B245" s="4"/>
      <c r="C245" s="12"/>
    </row>
    <row r="246" spans="2:3" x14ac:dyDescent="0.75">
      <c r="B246" s="4"/>
      <c r="C246" s="12"/>
    </row>
    <row r="247" spans="2:3" x14ac:dyDescent="0.75">
      <c r="B247" s="4"/>
      <c r="C247" s="12"/>
    </row>
    <row r="248" spans="2:3" x14ac:dyDescent="0.75">
      <c r="B248" s="4"/>
      <c r="C248" s="12"/>
    </row>
    <row r="249" spans="2:3" x14ac:dyDescent="0.75">
      <c r="B249" s="4"/>
      <c r="C249" s="12"/>
    </row>
    <row r="250" spans="2:3" x14ac:dyDescent="0.75">
      <c r="B250" s="4"/>
      <c r="C250" s="12"/>
    </row>
    <row r="251" spans="2:3" x14ac:dyDescent="0.75">
      <c r="B251" s="4"/>
      <c r="C251" s="12"/>
    </row>
    <row r="252" spans="2:3" x14ac:dyDescent="0.75">
      <c r="B252" s="4"/>
      <c r="C252" s="12"/>
    </row>
    <row r="253" spans="2:3" x14ac:dyDescent="0.75">
      <c r="B253" s="4"/>
      <c r="C253" s="12"/>
    </row>
    <row r="254" spans="2:3" x14ac:dyDescent="0.75">
      <c r="B254" s="4"/>
      <c r="C254" s="12"/>
    </row>
    <row r="255" spans="2:3" x14ac:dyDescent="0.75">
      <c r="B255" s="4"/>
      <c r="C255" s="12"/>
    </row>
    <row r="256" spans="2:3" x14ac:dyDescent="0.75">
      <c r="B256" s="4"/>
      <c r="C256" s="12"/>
    </row>
    <row r="257" spans="2:3" x14ac:dyDescent="0.75">
      <c r="B257" s="4"/>
      <c r="C257" s="12"/>
    </row>
    <row r="258" spans="2:3" x14ac:dyDescent="0.75">
      <c r="B258" s="4"/>
      <c r="C258" s="12"/>
    </row>
    <row r="259" spans="2:3" x14ac:dyDescent="0.75">
      <c r="B259" s="4"/>
      <c r="C259" s="12"/>
    </row>
    <row r="260" spans="2:3" x14ac:dyDescent="0.75">
      <c r="B260" s="4"/>
      <c r="C260" s="12"/>
    </row>
    <row r="261" spans="2:3" x14ac:dyDescent="0.75">
      <c r="B261" s="4"/>
      <c r="C261" s="12"/>
    </row>
    <row r="262" spans="2:3" x14ac:dyDescent="0.75">
      <c r="B262" s="4"/>
      <c r="C262" s="12"/>
    </row>
    <row r="263" spans="2:3" x14ac:dyDescent="0.75">
      <c r="B263" s="4"/>
      <c r="C263" s="12"/>
    </row>
    <row r="264" spans="2:3" x14ac:dyDescent="0.75">
      <c r="B264" s="4"/>
      <c r="C264" s="12"/>
    </row>
    <row r="265" spans="2:3" x14ac:dyDescent="0.75">
      <c r="B265" s="4"/>
      <c r="C265" s="12"/>
    </row>
    <row r="266" spans="2:3" x14ac:dyDescent="0.75">
      <c r="B266" s="4"/>
      <c r="C266" s="12"/>
    </row>
    <row r="267" spans="2:3" x14ac:dyDescent="0.75">
      <c r="B267" s="4"/>
      <c r="C267" s="12"/>
    </row>
    <row r="268" spans="2:3" x14ac:dyDescent="0.75">
      <c r="B268" s="4"/>
      <c r="C268" s="12"/>
    </row>
    <row r="269" spans="2:3" x14ac:dyDescent="0.75">
      <c r="B269" s="4"/>
      <c r="C269" s="12"/>
    </row>
    <row r="270" spans="2:3" x14ac:dyDescent="0.75">
      <c r="B270" s="4"/>
      <c r="C270" s="12"/>
    </row>
    <row r="271" spans="2:3" x14ac:dyDescent="0.75">
      <c r="B271" s="4"/>
      <c r="C271" s="12"/>
    </row>
    <row r="272" spans="2:3" x14ac:dyDescent="0.75">
      <c r="B272" s="4"/>
      <c r="C272" s="12"/>
    </row>
    <row r="273" spans="2:3" x14ac:dyDescent="0.75">
      <c r="B273" s="4"/>
      <c r="C273" s="12"/>
    </row>
    <row r="274" spans="2:3" x14ac:dyDescent="0.75">
      <c r="B274" s="4"/>
      <c r="C274" s="12"/>
    </row>
    <row r="275" spans="2:3" x14ac:dyDescent="0.75">
      <c r="B275" s="4"/>
      <c r="C275" s="12"/>
    </row>
    <row r="276" spans="2:3" x14ac:dyDescent="0.75">
      <c r="B276" s="4"/>
      <c r="C276" s="12"/>
    </row>
    <row r="277" spans="2:3" x14ac:dyDescent="0.75">
      <c r="B277" s="4"/>
      <c r="C277" s="12"/>
    </row>
    <row r="278" spans="2:3" x14ac:dyDescent="0.75">
      <c r="B278" s="4"/>
      <c r="C278" s="12"/>
    </row>
    <row r="279" spans="2:3" x14ac:dyDescent="0.75">
      <c r="B279" s="4"/>
      <c r="C279" s="12"/>
    </row>
    <row r="280" spans="2:3" x14ac:dyDescent="0.75">
      <c r="B280" s="4"/>
      <c r="C280" s="12"/>
    </row>
    <row r="281" spans="2:3" x14ac:dyDescent="0.75">
      <c r="B281" s="4"/>
      <c r="C281" s="12"/>
    </row>
    <row r="282" spans="2:3" x14ac:dyDescent="0.75">
      <c r="B282" s="4"/>
      <c r="C282" s="12"/>
    </row>
    <row r="283" spans="2:3" x14ac:dyDescent="0.75">
      <c r="B283" s="4"/>
      <c r="C283" s="12"/>
    </row>
    <row r="284" spans="2:3" x14ac:dyDescent="0.75">
      <c r="B284" s="4"/>
      <c r="C284" s="12"/>
    </row>
    <row r="285" spans="2:3" x14ac:dyDescent="0.75">
      <c r="B285" s="4"/>
      <c r="C285" s="12"/>
    </row>
    <row r="286" spans="2:3" x14ac:dyDescent="0.75">
      <c r="B286" s="4"/>
      <c r="C286" s="12"/>
    </row>
    <row r="287" spans="2:3" x14ac:dyDescent="0.75">
      <c r="B287" s="4"/>
      <c r="C287" s="12"/>
    </row>
    <row r="288" spans="2:3" x14ac:dyDescent="0.75">
      <c r="B288" s="4"/>
      <c r="C288" s="12"/>
    </row>
    <row r="289" spans="2:3" x14ac:dyDescent="0.75">
      <c r="B289" s="4"/>
      <c r="C289" s="12"/>
    </row>
    <row r="290" spans="2:3" x14ac:dyDescent="0.75">
      <c r="B290" s="4"/>
      <c r="C290" s="4"/>
    </row>
    <row r="291" spans="2:3" x14ac:dyDescent="0.75">
      <c r="B291" s="4"/>
      <c r="C291" s="4"/>
    </row>
    <row r="292" spans="2:3" x14ac:dyDescent="0.75">
      <c r="B292" s="4"/>
      <c r="C292" s="4"/>
    </row>
    <row r="293" spans="2:3" x14ac:dyDescent="0.75">
      <c r="B293" s="4"/>
      <c r="C293" s="4"/>
    </row>
    <row r="294" spans="2:3" x14ac:dyDescent="0.75">
      <c r="B294" s="4"/>
      <c r="C294" s="4"/>
    </row>
    <row r="295" spans="2:3" x14ac:dyDescent="0.75">
      <c r="B295" s="4"/>
      <c r="C295" s="4"/>
    </row>
    <row r="296" spans="2:3" x14ac:dyDescent="0.75">
      <c r="B296" s="4"/>
      <c r="C296" s="4"/>
    </row>
    <row r="297" spans="2:3" x14ac:dyDescent="0.75">
      <c r="B297" s="4"/>
      <c r="C297" s="4"/>
    </row>
    <row r="298" spans="2:3" x14ac:dyDescent="0.75">
      <c r="B298" s="4"/>
      <c r="C298" s="4"/>
    </row>
    <row r="299" spans="2:3" x14ac:dyDescent="0.75">
      <c r="B299" s="4"/>
      <c r="C299" s="4"/>
    </row>
    <row r="300" spans="2:3" x14ac:dyDescent="0.75">
      <c r="B300" s="4"/>
      <c r="C300" s="4"/>
    </row>
    <row r="301" spans="2:3" x14ac:dyDescent="0.75">
      <c r="B301" s="4"/>
      <c r="C301" s="4"/>
    </row>
    <row r="302" spans="2:3" x14ac:dyDescent="0.75">
      <c r="B302" s="4"/>
      <c r="C302" s="4"/>
    </row>
    <row r="303" spans="2:3" x14ac:dyDescent="0.75">
      <c r="B303" s="4"/>
      <c r="C303" s="4"/>
    </row>
    <row r="304" spans="2:3" x14ac:dyDescent="0.75">
      <c r="B304" s="4"/>
      <c r="C304" s="4"/>
    </row>
    <row r="305" spans="2:3" x14ac:dyDescent="0.75">
      <c r="B305" s="4"/>
      <c r="C305" s="4"/>
    </row>
    <row r="306" spans="2:3" x14ac:dyDescent="0.75">
      <c r="B306" s="4"/>
      <c r="C306" s="4"/>
    </row>
    <row r="307" spans="2:3" x14ac:dyDescent="0.75">
      <c r="B307" s="4"/>
      <c r="C307" s="4"/>
    </row>
    <row r="308" spans="2:3" x14ac:dyDescent="0.75">
      <c r="B308" s="4"/>
      <c r="C308" s="4"/>
    </row>
    <row r="309" spans="2:3" x14ac:dyDescent="0.75">
      <c r="B309" s="4"/>
      <c r="C309" s="4"/>
    </row>
    <row r="310" spans="2:3" x14ac:dyDescent="0.75">
      <c r="B310" s="4"/>
      <c r="C310" s="4"/>
    </row>
    <row r="311" spans="2:3" x14ac:dyDescent="0.75">
      <c r="B311" s="4"/>
      <c r="C311" s="4"/>
    </row>
    <row r="312" spans="2:3" x14ac:dyDescent="0.75">
      <c r="B312" s="4"/>
      <c r="C312" s="4"/>
    </row>
    <row r="313" spans="2:3" x14ac:dyDescent="0.75">
      <c r="B313" s="4"/>
      <c r="C313" s="4"/>
    </row>
    <row r="314" spans="2:3" x14ac:dyDescent="0.75">
      <c r="B314" s="4"/>
      <c r="C314" s="4"/>
    </row>
    <row r="315" spans="2:3" x14ac:dyDescent="0.75">
      <c r="B315" s="4"/>
      <c r="C315" s="4"/>
    </row>
    <row r="316" spans="2:3" x14ac:dyDescent="0.75">
      <c r="B316" s="4"/>
      <c r="C316" s="4"/>
    </row>
    <row r="317" spans="2:3" x14ac:dyDescent="0.75">
      <c r="B317" s="4"/>
      <c r="C317" s="4"/>
    </row>
    <row r="318" spans="2:3" x14ac:dyDescent="0.75">
      <c r="B318" s="4"/>
      <c r="C318" s="4"/>
    </row>
    <row r="319" spans="2:3" x14ac:dyDescent="0.75">
      <c r="B319" s="4"/>
      <c r="C319" s="4"/>
    </row>
    <row r="320" spans="2:3" x14ac:dyDescent="0.75">
      <c r="B320" s="4"/>
      <c r="C320" s="4"/>
    </row>
    <row r="321" spans="2:3" x14ac:dyDescent="0.75">
      <c r="B321" s="4"/>
      <c r="C321" s="4"/>
    </row>
    <row r="322" spans="2:3" x14ac:dyDescent="0.75">
      <c r="B322" s="4"/>
      <c r="C322" s="4"/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C2:E2"/>
    <mergeCell ref="D3:E3"/>
    <mergeCell ref="D4:E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Expenses</vt:lpstr>
      <vt:lpstr>Savings</vt:lpstr>
      <vt:lpstr>Retirement</vt:lpstr>
      <vt:lpstr>College Loan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2023-07-31T17:03:10Z</dcterms:created>
  <dcterms:modified xsi:type="dcterms:W3CDTF">2023-08-15T05:02:40Z</dcterms:modified>
</cp:coreProperties>
</file>